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E:\自己做的\游戏\2026聚光灯\outputs\20261015_关卡配置\"/>
    </mc:Choice>
  </mc:AlternateContent>
  <xr:revisionPtr revIDLastSave="0" documentId="13_ncr:1_{BC371D6B-8DB7-4710-938F-843F0F1AA67B}" xr6:coauthVersionLast="47" xr6:coauthVersionMax="47" xr10:uidLastSave="{00000000-0000-0000-0000-000000000000}"/>
  <bookViews>
    <workbookView xWindow="-98" yWindow="-98" windowWidth="21795" windowHeight="12975" tabRatio="632" activeTab="7" xr2:uid="{00000000-000D-0000-FFFF-FFFF00000000}"/>
  </bookViews>
  <sheets>
    <sheet name="关卡总览" sheetId="1" r:id="rId1"/>
    <sheet name="全局资源" sheetId="2" r:id="rId2"/>
    <sheet name="关卡参数" sheetId="3" r:id="rId3"/>
    <sheet name="天体配置" sheetId="4" r:id="rId4"/>
    <sheet name="节点配置" sheetId="5" r:id="rId5"/>
    <sheet name="信息链" sheetId="6" r:id="rId6"/>
    <sheet name="武装效果" sheetId="8" r:id="rId7"/>
    <sheet name="生产制造" sheetId="7" r:id="rId8"/>
    <sheet name="载体插槽" sheetId="9" r:id="rId9"/>
    <sheet name="全局机制" sheetId="10" r:id="rId10"/>
    <sheet name="使用说明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" l="1"/>
  <c r="J11" i="1"/>
  <c r="I11" i="1"/>
  <c r="H11" i="1"/>
  <c r="G11" i="1"/>
  <c r="F11" i="1"/>
  <c r="E11" i="1"/>
  <c r="D11" i="1"/>
  <c r="C11" i="1"/>
  <c r="K10" i="1"/>
  <c r="J10" i="1"/>
  <c r="I10" i="1"/>
  <c r="H10" i="1"/>
  <c r="G10" i="1"/>
  <c r="F10" i="1"/>
  <c r="E10" i="1"/>
  <c r="D10" i="1"/>
  <c r="C10" i="1"/>
  <c r="K9" i="1"/>
  <c r="J9" i="1"/>
  <c r="I9" i="1"/>
  <c r="H9" i="1"/>
  <c r="G9" i="1"/>
  <c r="F9" i="1"/>
  <c r="E9" i="1"/>
  <c r="D9" i="1"/>
  <c r="C9" i="1"/>
  <c r="K8" i="1"/>
  <c r="J8" i="1"/>
  <c r="I8" i="1"/>
  <c r="H8" i="1"/>
  <c r="G8" i="1"/>
  <c r="F8" i="1"/>
  <c r="E8" i="1"/>
  <c r="D8" i="1"/>
  <c r="C8" i="1"/>
  <c r="K7" i="1"/>
  <c r="J7" i="1"/>
  <c r="I7" i="1"/>
  <c r="H7" i="1"/>
  <c r="G7" i="1"/>
  <c r="F7" i="1"/>
  <c r="E7" i="1"/>
  <c r="D7" i="1"/>
  <c r="C7" i="1"/>
  <c r="K6" i="1"/>
  <c r="J6" i="1"/>
  <c r="I6" i="1"/>
  <c r="H6" i="1"/>
  <c r="G6" i="1"/>
  <c r="F6" i="1"/>
  <c r="E6" i="1"/>
  <c r="D6" i="1"/>
  <c r="C6" i="1"/>
</calcChain>
</file>

<file path=xl/sharedStrings.xml><?xml version="1.0" encoding="utf-8"?>
<sst xmlns="http://schemas.openxmlformats.org/spreadsheetml/2006/main" count="2073" uniqueCount="585">
  <si>
    <t>六关配置总览</t>
  </si>
  <si>
    <t>汇总随输入表更新；编辑后方淡黄色输入区，保留编号与表头。</t>
  </si>
  <si>
    <t>关卡</t>
  </si>
  <si>
    <t>名称</t>
  </si>
  <si>
    <t>恒星数</t>
  </si>
  <si>
    <t>行星数</t>
  </si>
  <si>
    <t>卫星数</t>
  </si>
  <si>
    <t>人工天体数</t>
  </si>
  <si>
    <t>初始人口(P)</t>
  </si>
  <si>
    <t>节点数</t>
  </si>
  <si>
    <t>初始能源</t>
  </si>
  <si>
    <t>初始物质</t>
  </si>
  <si>
    <t>初始信息</t>
  </si>
  <si>
    <t>第一关 · 初次作业</t>
  </si>
  <si>
    <t>第二关 · 功能链与搭载</t>
  </si>
  <si>
    <t>第三关 · 硅基观察者</t>
  </si>
  <si>
    <t>第四关 · 太阳系</t>
  </si>
  <si>
    <t>第五关 · 集中式硅基网络</t>
  </si>
  <si>
    <t>第六关 · 共生文明</t>
  </si>
  <si>
    <t>全局资源</t>
  </si>
  <si>
    <t>修改全局默认库存与基础产速；采集点增量在生产制造修改。</t>
  </si>
  <si>
    <t>key</t>
  </si>
  <si>
    <t>label</t>
  </si>
  <si>
    <t>value</t>
  </si>
  <si>
    <t>unit</t>
  </si>
  <si>
    <t>note</t>
  </si>
  <si>
    <t>参数键</t>
  </si>
  <si>
    <t>参数名称</t>
  </si>
  <si>
    <t>可编辑值</t>
  </si>
  <si>
    <t>单位</t>
  </si>
  <si>
    <t>说明</t>
  </si>
  <si>
    <t>initialResources.energy</t>
  </si>
  <si>
    <t>关卡留空时使用本值</t>
  </si>
  <si>
    <t>initialResources.matter</t>
  </si>
  <si>
    <t>initialResources.info</t>
  </si>
  <si>
    <t>initialResources.a1</t>
  </si>
  <si>
    <t>初始一级武装</t>
  </si>
  <si>
    <t>initialResources.a2</t>
  </si>
  <si>
    <t>初始二级武装</t>
  </si>
  <si>
    <t>initialResources.a3</t>
  </si>
  <si>
    <t>初始三级武装</t>
  </si>
  <si>
    <t>energyRate</t>
  </si>
  <si>
    <t>基础能源产速</t>
  </si>
  <si>
    <t>单位/秒</t>
  </si>
  <si>
    <t>无设施时的默认产速</t>
  </si>
  <si>
    <t>matterRate</t>
  </si>
  <si>
    <t>基础物质产速</t>
  </si>
  <si>
    <t>关卡参数</t>
  </si>
  <si>
    <t>数量和人口从明细自动汇总；初始资源留空继承全局。</t>
  </si>
  <si>
    <t>level</t>
  </si>
  <si>
    <t>关卡覆盖值</t>
  </si>
  <si>
    <t>规则</t>
  </si>
  <si>
    <t>seed</t>
  </si>
  <si>
    <t>随机种子</t>
  </si>
  <si>
    <t>数值</t>
  </si>
  <si>
    <t>按本关生效</t>
  </si>
  <si>
    <t>solarOriginId</t>
  </si>
  <si>
    <t>太阳系外逃出发天体</t>
  </si>
  <si>
    <t>p2</t>
  </si>
  <si>
    <t>a2</t>
  </si>
  <si>
    <t>空白=继承；填0=实际为0</t>
  </si>
  <si>
    <t>a3</t>
  </si>
  <si>
    <t>limit</t>
  </si>
  <si>
    <t>关卡时限</t>
  </si>
  <si>
    <t>秒</t>
  </si>
  <si>
    <t>energy</t>
  </si>
  <si>
    <t>matter</t>
  </si>
  <si>
    <t>info</t>
  </si>
  <si>
    <t>a1</t>
  </si>
  <si>
    <t>每秒</t>
  </si>
  <si>
    <t>energyBonus</t>
  </si>
  <si>
    <t>首座能源设施产速覆盖</t>
  </si>
  <si>
    <t>matterBonus</t>
  </si>
  <si>
    <t>首座物质设施产速覆盖</t>
  </si>
  <si>
    <t>facilityCap</t>
  </si>
  <si>
    <t>设施上限</t>
  </si>
  <si>
    <t>aiCap</t>
  </si>
  <si>
    <t>AI设施上限</t>
  </si>
  <si>
    <t>techStart</t>
  </si>
  <si>
    <t>AI初始科技</t>
  </si>
  <si>
    <t>techRate</t>
  </si>
  <si>
    <t>AI科技产速</t>
  </si>
  <si>
    <t>alertMul</t>
  </si>
  <si>
    <t>察觉科技加成</t>
  </si>
  <si>
    <t>decay</t>
  </si>
  <si>
    <t>察觉回落速度</t>
  </si>
  <si>
    <t>backupStart</t>
  </si>
  <si>
    <t>文明初始备份</t>
  </si>
  <si>
    <t>backupRate</t>
  </si>
  <si>
    <t>文明备份产速</t>
  </si>
  <si>
    <t>escapeSeconds</t>
  </si>
  <si>
    <t>外逃准备周期</t>
  </si>
  <si>
    <t>escapeFlightSeconds</t>
  </si>
  <si>
    <t>外逃舰航行时长</t>
  </si>
  <si>
    <t>aiBuildRate</t>
  </si>
  <si>
    <t>AI建造速度</t>
  </si>
  <si>
    <t>damageScale</t>
  </si>
  <si>
    <t>玩家伤害倍率</t>
  </si>
  <si>
    <t>aiScale</t>
  </si>
  <si>
    <t>AI成长倍率</t>
  </si>
  <si>
    <t>awareness</t>
  </si>
  <si>
    <t>启用文明反应</t>
  </si>
  <si>
    <t>allowEscape</t>
  </si>
  <si>
    <t>未上报时允许外逃</t>
  </si>
  <si>
    <t>0禁止、1允许；上报后强制禁止</t>
  </si>
  <si>
    <t>regenerationScale</t>
  </si>
  <si>
    <t>人口恢复倍率</t>
  </si>
  <si>
    <t>天体配置</t>
  </si>
  <si>
    <t>一行一个天体；增删行决定数量。人工天体也可有人口和节点。</t>
  </si>
  <si>
    <t>id</t>
  </si>
  <si>
    <t>name</t>
  </si>
  <si>
    <t>kind</t>
  </si>
  <si>
    <t>parent</t>
  </si>
  <si>
    <t>species</t>
  </si>
  <si>
    <t>population</t>
  </si>
  <si>
    <t>index</t>
  </si>
  <si>
    <t>au</t>
  </si>
  <si>
    <t>diameter</t>
  </si>
  <si>
    <t>regenerationRate</t>
  </si>
  <si>
    <t>scanExposureMultiplier</t>
  </si>
  <si>
    <t>color</t>
  </si>
  <si>
    <t>天体ID</t>
  </si>
  <si>
    <t>天体名称</t>
  </si>
  <si>
    <t>天体种类</t>
  </si>
  <si>
    <t>上级天体ID</t>
  </si>
  <si>
    <t>生物种类</t>
  </si>
  <si>
    <t>轨道顺序</t>
  </si>
  <si>
    <t>距离(AU)</t>
  </si>
  <si>
    <t>直径(km)</t>
  </si>
  <si>
    <t>恢复系数(/秒)</t>
  </si>
  <si>
    <t>侦察暴露倍率</t>
  </si>
  <si>
    <t>颜色</t>
  </si>
  <si>
    <t>sun</t>
  </si>
  <si>
    <t>主恒星</t>
  </si>
  <si>
    <t>恒星</t>
  </si>
  <si>
    <t>无生物</t>
  </si>
  <si>
    <t>#f2c77e</t>
  </si>
  <si>
    <t>p0</t>
  </si>
  <si>
    <t>行星 1</t>
  </si>
  <si>
    <t>行星</t>
  </si>
  <si>
    <t>#a9a59a</t>
  </si>
  <si>
    <t>p1</t>
  </si>
  <si>
    <t>行星 2</t>
  </si>
  <si>
    <t>#d3b083</t>
  </si>
  <si>
    <t>行星 3</t>
  </si>
  <si>
    <t>#6faddc</t>
  </si>
  <si>
    <t>m0</t>
  </si>
  <si>
    <t>卫星 1</t>
  </si>
  <si>
    <t>卫星</t>
  </si>
  <si>
    <t>碳基</t>
  </si>
  <si>
    <t>#b5bfd0</t>
  </si>
  <si>
    <t>m1</t>
  </si>
  <si>
    <t>卫星 2</t>
  </si>
  <si>
    <t>m2</t>
  </si>
  <si>
    <t>卫星 3</t>
  </si>
  <si>
    <t>s0</t>
  </si>
  <si>
    <t>轨道站 1</t>
  </si>
  <si>
    <t>人工天体</t>
  </si>
  <si>
    <t>#a38fd8</t>
  </si>
  <si>
    <t>s1</t>
  </si>
  <si>
    <t>轨道站 2</t>
  </si>
  <si>
    <t>硅基</t>
  </si>
  <si>
    <t>p3</t>
  </si>
  <si>
    <t>行星 4</t>
  </si>
  <si>
    <t>#c8846f</t>
  </si>
  <si>
    <t>p4</t>
  </si>
  <si>
    <t>行星 5</t>
  </si>
  <si>
    <t>#d6baa0</t>
  </si>
  <si>
    <t>m3</t>
  </si>
  <si>
    <t>卫星 4</t>
  </si>
  <si>
    <t>m4</t>
  </si>
  <si>
    <t>卫星 5</t>
  </si>
  <si>
    <t>s2</t>
  </si>
  <si>
    <t>轨道站 3</t>
  </si>
  <si>
    <t>太阳</t>
  </si>
  <si>
    <t>水星</t>
  </si>
  <si>
    <t>金星</t>
  </si>
  <si>
    <t>地球</t>
  </si>
  <si>
    <t>火星</t>
  </si>
  <si>
    <t>木星</t>
  </si>
  <si>
    <t>p5</t>
  </si>
  <si>
    <t>土星</t>
  </si>
  <si>
    <t>#dccb95</t>
  </si>
  <si>
    <t>p6</t>
  </si>
  <si>
    <t>天王星</t>
  </si>
  <si>
    <t>#8ecbd3</t>
  </si>
  <si>
    <t>p7</t>
  </si>
  <si>
    <t>海王星</t>
  </si>
  <si>
    <t>#658ad7</t>
  </si>
  <si>
    <t>月球</t>
  </si>
  <si>
    <t>火卫一</t>
  </si>
  <si>
    <t>火卫二</t>
  </si>
  <si>
    <t>木卫一</t>
  </si>
  <si>
    <t>木卫二</t>
  </si>
  <si>
    <t>m5</t>
  </si>
  <si>
    <t>木卫三</t>
  </si>
  <si>
    <t>m6</t>
  </si>
  <si>
    <t>木卫四</t>
  </si>
  <si>
    <t>m7</t>
  </si>
  <si>
    <t>土卫六</t>
  </si>
  <si>
    <t>m8</t>
  </si>
  <si>
    <t>土卫二</t>
  </si>
  <si>
    <t>m9</t>
  </si>
  <si>
    <t>海卫一</t>
  </si>
  <si>
    <t>地月数据站</t>
  </si>
  <si>
    <t>木星军工站</t>
  </si>
  <si>
    <t>土星中继站</t>
  </si>
  <si>
    <t>行星 6</t>
  </si>
  <si>
    <t>卫星 6</t>
  </si>
  <si>
    <t>卫星 7</t>
  </si>
  <si>
    <t>卫星 8</t>
  </si>
  <si>
    <t>s3</t>
  </si>
  <si>
    <t>轨道站 4</t>
  </si>
  <si>
    <t>行星 7</t>
  </si>
  <si>
    <t>卫星 9</t>
  </si>
  <si>
    <t>卫星 10</t>
  </si>
  <si>
    <t>s4</t>
  </si>
  <si>
    <t>轨道站 5</t>
  </si>
  <si>
    <t>节点配置</t>
  </si>
  <si>
    <t>数量1用原ID；数量&gt;1生成前缀_1、前缀_2…，信息链需同步。</t>
  </si>
  <si>
    <t>body</t>
  </si>
  <si>
    <t>type</t>
  </si>
  <si>
    <t>count</t>
  </si>
  <si>
    <t>hp</t>
  </si>
  <si>
    <t>所属天体ID</t>
  </si>
  <si>
    <t>节点ID/组前缀</t>
  </si>
  <si>
    <t>节点类型</t>
  </si>
  <si>
    <t>数量</t>
  </si>
  <si>
    <t>单个节点HP</t>
  </si>
  <si>
    <t>m0n0</t>
  </si>
  <si>
    <t>政治</t>
  </si>
  <si>
    <t>m0n1</t>
  </si>
  <si>
    <t>军事</t>
  </si>
  <si>
    <t>m0n2</t>
  </si>
  <si>
    <t>能源</t>
  </si>
  <si>
    <t>m0n3</t>
  </si>
  <si>
    <t>信息</t>
  </si>
  <si>
    <t>p2n0</t>
  </si>
  <si>
    <t>p2n1</t>
  </si>
  <si>
    <t>p2n2</t>
  </si>
  <si>
    <t>p2n3</t>
  </si>
  <si>
    <t>p2n4</t>
  </si>
  <si>
    <t>p2n5</t>
  </si>
  <si>
    <t>p2n6</t>
  </si>
  <si>
    <t>p2n7</t>
  </si>
  <si>
    <t>p2n8</t>
  </si>
  <si>
    <t>p2n9</t>
  </si>
  <si>
    <t>p2n10</t>
  </si>
  <si>
    <t>p2n11</t>
  </si>
  <si>
    <t>p2n12</t>
  </si>
  <si>
    <t>p2n13</t>
  </si>
  <si>
    <t>p2n14</t>
  </si>
  <si>
    <t>p2n15</t>
  </si>
  <si>
    <t>p2n16</t>
  </si>
  <si>
    <t>p2n17</t>
  </si>
  <si>
    <t>p2n18</t>
  </si>
  <si>
    <t>p2n19</t>
  </si>
  <si>
    <t>p2n20</t>
  </si>
  <si>
    <t>p2n21</t>
  </si>
  <si>
    <t>p2n22</t>
  </si>
  <si>
    <t>p2n23</t>
  </si>
  <si>
    <t>p2n24</t>
  </si>
  <si>
    <t>p1n0</t>
  </si>
  <si>
    <t>p1n1</t>
  </si>
  <si>
    <t>p1n2</t>
  </si>
  <si>
    <t>p1n3</t>
  </si>
  <si>
    <t>p1n4</t>
  </si>
  <si>
    <t>p1n5</t>
  </si>
  <si>
    <t>信息链</t>
  </si>
  <si>
    <t>一行一段链，起终点须在同一天体上，增删节点后同步调整。</t>
  </si>
  <si>
    <t>from</t>
  </si>
  <si>
    <t>to</t>
  </si>
  <si>
    <t>flow</t>
  </si>
  <si>
    <t>起点节点ID</t>
  </si>
  <si>
    <t>终点节点ID</t>
  </si>
  <si>
    <t>基础信息流速</t>
  </si>
  <si>
    <t>生产制造</t>
  </si>
  <si>
    <t>修改现有ID；打击只耗能源+物质，科技只耗能源+信息；基础作业时间在武装效果。</t>
  </si>
  <si>
    <t>group</t>
  </si>
  <si>
    <t>unlock</t>
  </si>
  <si>
    <t>seconds</t>
  </si>
  <si>
    <t>outValue</t>
  </si>
  <si>
    <t>productionRate</t>
  </si>
  <si>
    <t>locked</t>
  </si>
  <si>
    <t>规则表键</t>
  </si>
  <si>
    <t>规则ID</t>
  </si>
  <si>
    <t>开放关卡</t>
  </si>
  <si>
    <t>消耗能源</t>
  </si>
  <si>
    <t>消耗物质</t>
  </si>
  <si>
    <t>消耗信息</t>
  </si>
  <si>
    <t>消耗一级武装</t>
  </si>
  <si>
    <t>消耗二级武装</t>
  </si>
  <si>
    <t>消耗三级武装</t>
  </si>
  <si>
    <t>制造/建造秒</t>
  </si>
  <si>
    <t>每批产出</t>
  </si>
  <si>
    <t>首座设施产出/秒</t>
  </si>
  <si>
    <t>锁定(0/1)</t>
  </si>
  <si>
    <t>facilities</t>
  </si>
  <si>
    <t>能源采集器</t>
  </si>
  <si>
    <t>物质转化器</t>
  </si>
  <si>
    <t>military</t>
  </si>
  <si>
    <t>军工制造点</t>
  </si>
  <si>
    <t>signal</t>
  </si>
  <si>
    <t>信息收集点</t>
  </si>
  <si>
    <t>batches</t>
  </si>
  <si>
    <t>一级武装</t>
  </si>
  <si>
    <t>二级武装</t>
  </si>
  <si>
    <t>三级武装</t>
  </si>
  <si>
    <t>信息捕捉</t>
  </si>
  <si>
    <t>carriers</t>
  </si>
  <si>
    <t>dust</t>
  </si>
  <si>
    <t>星尘级</t>
  </si>
  <si>
    <t>satellite</t>
  </si>
  <si>
    <t>卫星级</t>
  </si>
  <si>
    <t>asteroid</t>
  </si>
  <si>
    <t>小行星级</t>
  </si>
  <si>
    <t>planet</t>
  </si>
  <si>
    <t>行星级</t>
  </si>
  <si>
    <t>operations</t>
  </si>
  <si>
    <t>probe</t>
  </si>
  <si>
    <t>星系探测</t>
  </si>
  <si>
    <t>recon</t>
  </si>
  <si>
    <t>天体深度侦察</t>
  </si>
  <si>
    <t>virus</t>
  </si>
  <si>
    <t>病毒入侵</t>
  </si>
  <si>
    <t>infoInvasion</t>
  </si>
  <si>
    <t>信息入侵</t>
  </si>
  <si>
    <t>surface</t>
  </si>
  <si>
    <t>地表设施打击</t>
  </si>
  <si>
    <t>planetary</t>
  </si>
  <si>
    <t>行星打击</t>
  </si>
  <si>
    <t>卫星打击</t>
  </si>
  <si>
    <t>stellar</t>
  </si>
  <si>
    <t>恒星打击</t>
  </si>
  <si>
    <t>blockade</t>
  </si>
  <si>
    <t>拦截外逃舰</t>
  </si>
  <si>
    <t>modules</t>
  </si>
  <si>
    <t>stealth</t>
  </si>
  <si>
    <t>隐形模块</t>
  </si>
  <si>
    <t>research</t>
  </si>
  <si>
    <t>隐形技术</t>
  </si>
  <si>
    <t>calibration</t>
  </si>
  <si>
    <t>高级武装校准</t>
  </si>
  <si>
    <t>ai</t>
  </si>
  <si>
    <t>能源采集区</t>
  </si>
  <si>
    <t>轨道军工</t>
  </si>
  <si>
    <t>信息冷库</t>
  </si>
  <si>
    <t>political</t>
  </si>
  <si>
    <t>协作枢纽</t>
  </si>
  <si>
    <t>escape</t>
  </si>
  <si>
    <t>外逃港</t>
  </si>
  <si>
    <t>武装效果</t>
  </si>
  <si>
    <t>制造时间和费用在生产制造；节点比例0.5表示50%，信息流速0表示阻断。</t>
  </si>
  <si>
    <t>pop</t>
  </si>
  <si>
    <t>nodeDamage</t>
  </si>
  <si>
    <t>effect</t>
  </si>
  <si>
    <t>duration</t>
  </si>
  <si>
    <t>interval</t>
  </si>
  <si>
    <t>ticks</t>
  </si>
  <si>
    <t>flowMultiplier</t>
  </si>
  <si>
    <t>alert</t>
  </si>
  <si>
    <t>entropy</t>
  </si>
  <si>
    <t>immuneCounter</t>
  </si>
  <si>
    <t>作业作用秒</t>
  </si>
  <si>
    <t>直接人口伤害(P)</t>
  </si>
  <si>
    <t>节点比例伤害</t>
  </si>
  <si>
    <t>节点固定伤害</t>
  </si>
  <si>
    <t>持续伤害/效果值</t>
  </si>
  <si>
    <t>入侵持续秒</t>
  </si>
  <si>
    <t>病毒间隔秒</t>
  </si>
  <si>
    <t>病毒次数</t>
  </si>
  <si>
    <t>信息流速倍率</t>
  </si>
  <si>
    <t>察觉修正</t>
  </si>
  <si>
    <t>熵增量</t>
  </si>
  <si>
    <t>免反制(0/1)</t>
  </si>
  <si>
    <t>载体插槽</t>
  </si>
  <si>
    <t>当前规则固定1打击槽、至少1科技槽；搭载等级决定可携带的打击级别。</t>
  </si>
  <si>
    <t>attackSlots</t>
  </si>
  <si>
    <t>technologySlots</t>
  </si>
  <si>
    <t>capacityRank</t>
  </si>
  <si>
    <t>flight</t>
  </si>
  <si>
    <t>exposure</t>
  </si>
  <si>
    <t>载体ID</t>
  </si>
  <si>
    <t>载体名称</t>
  </si>
  <si>
    <t>打击槽</t>
  </si>
  <si>
    <t>科技槽</t>
  </si>
  <si>
    <t>搭载等级(0-3)</t>
  </si>
  <si>
    <t>航行秒</t>
  </si>
  <si>
    <t>暴露值</t>
  </si>
  <si>
    <t>全局机制</t>
  </si>
  <si>
    <t>采集递减、申请拨付、敌方阶段及外逃参数；不熟悉的项目保留原值。</t>
  </si>
  <si>
    <t>mechanics.secondProducerMultiplier</t>
  </si>
  <si>
    <t>第二座采集点产出倍率</t>
  </si>
  <si>
    <t>全局生效，0/1字段只填0或1</t>
  </si>
  <si>
    <t>mechanics.laterProducerMultiplier</t>
  </si>
  <si>
    <t>第三座及以后产出倍率</t>
  </si>
  <si>
    <t>mechanics.counterBase</t>
  </si>
  <si>
    <t>基础反制值</t>
  </si>
  <si>
    <t>mechanics.counterMilitaryOffset</t>
  </si>
  <si>
    <t>军事反制基准抵扣</t>
  </si>
  <si>
    <t>mechanics.militaryCounterLoss</t>
  </si>
  <si>
    <t>每毁军事节点反制削减</t>
  </si>
  <si>
    <t>mechanics.thresholdCounterGain</t>
  </si>
  <si>
    <t>每次升级反制增加</t>
  </si>
  <si>
    <t>mechanics.interceptCap</t>
  </si>
  <si>
    <t>敌方拦截概率上限</t>
  </si>
  <si>
    <t>mechanics.interceptPerCounter</t>
  </si>
  <si>
    <t>单位反制拦截系数</t>
  </si>
  <si>
    <t>mechanics.interceptPerMilitary</t>
  </si>
  <si>
    <t>军事节点拦截系数</t>
  </si>
  <si>
    <t>mechanics.disruptionIntercept</t>
  </si>
  <si>
    <t>扰动拦截修正</t>
  </si>
  <si>
    <t>mechanics.interceptedStrength</t>
  </si>
  <si>
    <t>被反制后效果倍率</t>
  </si>
  <si>
    <t>mechanics.interceptedAlert</t>
  </si>
  <si>
    <t>被反制察觉增加</t>
  </si>
  <si>
    <t>mechanics.cooperationMitigation</t>
  </si>
  <si>
    <t>协同减伤系数</t>
  </si>
  <si>
    <t>mechanics.mitigationCap</t>
  </si>
  <si>
    <t>减伤上限</t>
  </si>
  <si>
    <t>mechanics.techFloor</t>
  </si>
  <si>
    <t>科技成长保底倍率</t>
  </si>
  <si>
    <t>mechanics.politicalTechLoss</t>
  </si>
  <si>
    <t>政治节点损毁科技削减</t>
  </si>
  <si>
    <t>mechanics.escapeTechThreshold</t>
  </si>
  <si>
    <t>外逃解锁科技阈值</t>
  </si>
  <si>
    <t>mechanics.energyEscapeLoss</t>
  </si>
  <si>
    <t>能源节点损毁外逃减速</t>
  </si>
  <si>
    <t>mechanics.escapeFloor</t>
  </si>
  <si>
    <t>外逃准备保底倍率</t>
  </si>
  <si>
    <t>mechanics.escapePortBonus</t>
  </si>
  <si>
    <t>外逃港加速系数</t>
  </si>
  <si>
    <t>mechanics.escapePortBaseline</t>
  </si>
  <si>
    <t>外逃港基准数量</t>
  </si>
  <si>
    <t>mechanics.escapePopulation</t>
  </si>
  <si>
    <t>每艘常规外逃人口(P)</t>
  </si>
  <si>
    <t>mechanics.coldStorageRate</t>
  </si>
  <si>
    <t>冷储备份增长</t>
  </si>
  <si>
    <t>mechanics.coldStorageBaseline</t>
  </si>
  <si>
    <t>冷储设施基准数量</t>
  </si>
  <si>
    <t>mechanics.energyBuildBonus</t>
  </si>
  <si>
    <t>能源设施建造加速</t>
  </si>
  <si>
    <t>mechanics.energyBuildBaseline</t>
  </si>
  <si>
    <t>能源设施基准数量</t>
  </si>
  <si>
    <t>mechanics.calibrationSuccess</t>
  </si>
  <si>
    <t>校准成功效果倍率</t>
  </si>
  <si>
    <t>mechanics.calibrationFailure</t>
  </si>
  <si>
    <t>校准失败效果倍率</t>
  </si>
  <si>
    <t>mechanics.calibrationTimeSaved</t>
  </si>
  <si>
    <t>校准成功节省秒</t>
  </si>
  <si>
    <t>mechanics.calibrationFailureAlert</t>
  </si>
  <si>
    <t>校准失败察觉增加</t>
  </si>
  <si>
    <t>mechanics.populationPerCity</t>
  </si>
  <si>
    <t>每城市人口(P)</t>
  </si>
  <si>
    <t>mechanics.earthPopulationShare</t>
  </si>
  <si>
    <t>旧布局地球人口占比(显式配置不使用)</t>
  </si>
  <si>
    <t>mechanics.peacefulBuildWeights.0</t>
  </si>
  <si>
    <t>平静阶段·能源采集区建造权重</t>
  </si>
  <si>
    <t>mechanics.peacefulBuildWeights.1</t>
  </si>
  <si>
    <t>平静阶段·轨道军工建造权重</t>
  </si>
  <si>
    <t>mechanics.peacefulBuildWeights.2</t>
  </si>
  <si>
    <t>平静阶段·信息冷库建造权重</t>
  </si>
  <si>
    <t>mechanics.peacefulBuildWeights.3</t>
  </si>
  <si>
    <t>平静阶段·协作枢纽建造权重</t>
  </si>
  <si>
    <t>mechanics.peacefulBuildWeights.4</t>
  </si>
  <si>
    <t>平静阶段·外逃港建造权重</t>
  </si>
  <si>
    <t>mechanics.alertStages.0.threshold</t>
  </si>
  <si>
    <t>察觉阶段1·触发阈值</t>
  </si>
  <si>
    <t>mechanics.alertStages.0.techBonus</t>
  </si>
  <si>
    <t>察觉阶段1·即时科技增加</t>
  </si>
  <si>
    <t>mechanics.alertStages.0.backupMultiplier</t>
  </si>
  <si>
    <t>察觉阶段1·备份倍率</t>
  </si>
  <si>
    <t>mechanics.alertStages.0.startEscape</t>
  </si>
  <si>
    <t>察觉阶段1·开启外逃</t>
  </si>
  <si>
    <t>mechanics.alertStages.0.buildWeights.0</t>
  </si>
  <si>
    <t>察觉阶段1·能源采集区建造权重</t>
  </si>
  <si>
    <t>mechanics.alertStages.0.buildWeights.1</t>
  </si>
  <si>
    <t>察觉阶段1·轨道军工建造权重</t>
  </si>
  <si>
    <t>mechanics.alertStages.0.buildWeights.2</t>
  </si>
  <si>
    <t>察觉阶段1·信息冷库建造权重</t>
  </si>
  <si>
    <t>mechanics.alertStages.0.buildWeights.3</t>
  </si>
  <si>
    <t>察觉阶段1·协作枢纽建造权重</t>
  </si>
  <si>
    <t>mechanics.alertStages.0.buildWeights.4</t>
  </si>
  <si>
    <t>察觉阶段1·外逃港建造权重</t>
  </si>
  <si>
    <t>mechanics.alertStages.1.threshold</t>
  </si>
  <si>
    <t>察觉阶段2·触发阈值</t>
  </si>
  <si>
    <t>mechanics.alertStages.1.techBonus</t>
  </si>
  <si>
    <t>察觉阶段2·即时科技增加</t>
  </si>
  <si>
    <t>mechanics.alertStages.1.backupMultiplier</t>
  </si>
  <si>
    <t>察觉阶段2·备份倍率</t>
  </si>
  <si>
    <t>mechanics.alertStages.1.startEscape</t>
  </si>
  <si>
    <t>察觉阶段2·开启外逃</t>
  </si>
  <si>
    <t>mechanics.alertStages.1.buildWeights.0</t>
  </si>
  <si>
    <t>察觉阶段2·能源采集区建造权重</t>
  </si>
  <si>
    <t>mechanics.alertStages.1.buildWeights.1</t>
  </si>
  <si>
    <t>察觉阶段2·轨道军工建造权重</t>
  </si>
  <si>
    <t>mechanics.alertStages.1.buildWeights.2</t>
  </si>
  <si>
    <t>察觉阶段2·信息冷库建造权重</t>
  </si>
  <si>
    <t>mechanics.alertStages.1.buildWeights.3</t>
  </si>
  <si>
    <t>察觉阶段2·协作枢纽建造权重</t>
  </si>
  <si>
    <t>mechanics.alertStages.1.buildWeights.4</t>
  </si>
  <si>
    <t>察觉阶段2·外逃港建造权重</t>
  </si>
  <si>
    <t>mechanics.alertStages.2.threshold</t>
  </si>
  <si>
    <t>察觉阶段3·触发阈值</t>
  </si>
  <si>
    <t>mechanics.alertStages.2.techBonus</t>
  </si>
  <si>
    <t>察觉阶段3·即时科技增加</t>
  </si>
  <si>
    <t>mechanics.alertStages.2.backupMultiplier</t>
  </si>
  <si>
    <t>察觉阶段3·备份倍率</t>
  </si>
  <si>
    <t>mechanics.alertStages.2.startEscape</t>
  </si>
  <si>
    <t>察觉阶段3·开启外逃</t>
  </si>
  <si>
    <t>mechanics.alertStages.2.buildWeights.0</t>
  </si>
  <si>
    <t>察觉阶段3·能源采集区建造权重</t>
  </si>
  <si>
    <t>mechanics.alertStages.2.buildWeights.1</t>
  </si>
  <si>
    <t>察觉阶段3·轨道军工建造权重</t>
  </si>
  <si>
    <t>mechanics.alertStages.2.buildWeights.2</t>
  </si>
  <si>
    <t>察觉阶段3·信息冷库建造权重</t>
  </si>
  <si>
    <t>mechanics.alertStages.2.buildWeights.3</t>
  </si>
  <si>
    <t>察觉阶段3·协作枢纽建造权重</t>
  </si>
  <si>
    <t>mechanics.alertStages.2.buildWeights.4</t>
  </si>
  <si>
    <t>察觉阶段3·外逃港建造权重</t>
  </si>
  <si>
    <t>application.seconds</t>
  </si>
  <si>
    <t>资源申请处理秒</t>
  </si>
  <si>
    <t>application.amounts.energy</t>
  </si>
  <si>
    <t>申请拨付能源</t>
  </si>
  <si>
    <t>application.amounts.matter</t>
  </si>
  <si>
    <t>申请拨付物质</t>
  </si>
  <si>
    <t>application.amounts.info</t>
  </si>
  <si>
    <t>申请拨付信息</t>
  </si>
  <si>
    <t>application.amounts.a1</t>
  </si>
  <si>
    <t>申请拨付一级武装</t>
  </si>
  <si>
    <t>application.amounts.a2</t>
  </si>
  <si>
    <t>申请拨付二级武装</t>
  </si>
  <si>
    <t>application.amounts.a3</t>
  </si>
  <si>
    <t>申请拨付三级武装</t>
  </si>
  <si>
    <t>application.unlockedArmsOnly</t>
  </si>
  <si>
    <t>申请仅拨付已解锁武装</t>
  </si>
  <si>
    <t>solarStory.enabled</t>
  </si>
  <si>
    <t>启用第4关外逃剧情</t>
  </si>
  <si>
    <t>solarStory.eventSeconds</t>
  </si>
  <si>
    <t>第4关外逃剧情时间(秒)</t>
  </si>
  <si>
    <t>solarStory.secondDelay</t>
  </si>
  <si>
    <t>第二轮延迟(游戏秒)</t>
  </si>
  <si>
    <t>solarStory.reservedPopulation</t>
  </si>
  <si>
    <t>第4关首艘预留人口(P)</t>
  </si>
  <si>
    <t>编辑与回传规则</t>
  </si>
  <si>
    <t>源配置指纹</t>
  </si>
  <si>
    <t>0edd099fa739ddc068307df4752dee804ea63013dd295b8f5c0ef4b522f2589a</t>
  </si>
  <si>
    <t>表格版本</t>
  </si>
  <si>
    <t>config-v1</t>
  </si>
  <si>
    <t>来源</t>
  </si>
  <si>
    <t>当前工程：Resources/DemoEditableConfig.json、DemoRules.json；数据由正在使用的关卡配置反向导出，不是建议值。</t>
  </si>
  <si>
    <t>回传</t>
  </si>
  <si>
    <t>改表 → 发给我 → 校验与差异预览 → 备份 → 导入两份配置 → Unity重新构建。</t>
  </si>
  <si>
    <t>淡黄色可改；灰色为稳定键、单位或说明。关卡总览是公式输出，不直接修改。</t>
  </si>
  <si>
    <t>天体</t>
  </si>
  <si>
    <t>每行一个天体，增删行决定数量。恒星、行星、卫星、人工天体均可配置人口和节点。</t>
  </si>
  <si>
    <t>上级</t>
  </si>
  <si>
    <t>非恒星必须填写现有父级ID；删除天体需同步删除它的节点、链与子级，不允许循环。</t>
  </si>
  <si>
    <t>生物</t>
  </si>
  <si>
    <t>碳基、硅基、无生物；人口直接填P。无生物人口须为0，人工天体规则相同。</t>
  </si>
  <si>
    <t>节点</t>
  </si>
  <si>
    <t>每行一组，数量1用原ID；数量大于1生成前缀_1、前缀_2…，单个节点均使用所填HP。</t>
  </si>
  <si>
    <t>一行一段，端点须是同一天体上真实存在的节点ID；节点增删后同步更新。</t>
  </si>
  <si>
    <t>初始资源</t>
  </si>
  <si>
    <t>关卡参数留空继承全局；填0实际为0。仅初始资源、基础产速和设施产速覆盖允许留空。</t>
  </si>
  <si>
    <t>采集</t>
  </si>
  <si>
    <t>生产制造修改首座设施产速，后续递减倍率在全局机制；无设施基础产速在全局资源。</t>
  </si>
  <si>
    <t>制造</t>
  </si>
  <si>
    <t>生产制造修改费用和制造时长，武装效果修改实际作业时间与伤害。基础作业不重复填制造时长。</t>
  </si>
  <si>
    <t>费用</t>
  </si>
  <si>
    <t>打击模块只用能源+物质；科技模块只用能源+信息；载体/研发/资源转换按各自消耗列填写。</t>
  </si>
  <si>
    <t>上报</t>
  </si>
  <si>
    <t>上报后恢复零外逃硬条件；不会追溯撤销此前已经通关的第四关。</t>
  </si>
  <si>
    <t>新增行</t>
  </si>
  <si>
    <t>复制同表数据行填写唯一ID，不改第4行字段键、第5行中文表头。每关最多256天体。</t>
  </si>
  <si>
    <t>稳定规则</t>
  </si>
  <si>
    <t>现有武装、载体、研发规则ID不能增删；参数可改。新增玩法能力仍需代码支持。</t>
  </si>
  <si>
    <t>存档</t>
  </si>
  <si>
    <t>新配置用于新开的模拟；旧局内存档保留旧现场。导入不会更改剧情文案、存档或原始参考工程。</t>
  </si>
  <si>
    <t>错误拦截</t>
  </si>
  <si>
    <t>重复ID、父级循环、无效链、负数、必填空白、输入公式或工程配置已变化会中止导入。</t>
  </si>
  <si>
    <t>汇总范围</t>
  </si>
  <si>
    <t>汇总公式预留到第10000行；超出需扩展公式，导入器仍读取所有数据行。</t>
  </si>
  <si>
    <t>遗留规则</t>
  </si>
  <si>
    <t>生产制造中batches/info已停用（信息改为自动采集）；ai组属于敌方设施，不是玩家制造项目。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</si>
</sst>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"/>
    <numFmt numFmtId="177" formatCode="0.0%"/>
  </numFmts>
  <fonts count="8">
    <font>
      <sz val="11"/>
      <name val="Carlito"/>
    </font>
    <font>
      <sz val="1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1"/>
      <color rgb="FF667085"/>
      <name val="Arial"/>
      <family val="2"/>
    </font>
    <font>
      <sz val="11"/>
      <color rgb="FFFFFFFF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263F5C"/>
      </patternFill>
    </fill>
    <fill>
      <patternFill patternType="solid">
        <fgColor rgb="FFFFF4D2"/>
      </patternFill>
    </fill>
    <fill>
      <patternFill patternType="solid">
        <fgColor rgb="FFF1F4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1" fillId="0" borderId="0" xfId="1" applyFont="1"/>
    <xf numFmtId="0" fontId="1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3" borderId="0" xfId="1" applyFont="1" applyFill="1" applyAlignment="1">
      <alignment vertical="center"/>
    </xf>
    <xf numFmtId="0" fontId="1" fillId="4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2" fillId="0" borderId="0" xfId="1" applyFont="1"/>
    <xf numFmtId="3" fontId="1" fillId="0" borderId="0" xfId="1" applyNumberFormat="1" applyFont="1"/>
    <xf numFmtId="176" fontId="1" fillId="0" borderId="0" xfId="1" applyNumberFormat="1" applyFont="1"/>
    <xf numFmtId="0" fontId="1" fillId="0" borderId="0" xfId="1" applyFont="1" applyAlignment="1">
      <alignment wrapText="1"/>
    </xf>
    <xf numFmtId="0" fontId="1" fillId="3" borderId="0" xfId="1" applyFont="1" applyFill="1" applyAlignment="1">
      <alignment horizontal="center" vertical="center"/>
    </xf>
    <xf numFmtId="176" fontId="1" fillId="3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" fillId="4" borderId="0" xfId="1" applyFont="1" applyFill="1" applyAlignment="1">
      <alignment horizontal="center" vertical="center"/>
    </xf>
    <xf numFmtId="177" fontId="1" fillId="3" borderId="0" xfId="1" applyNumberFormat="1" applyFont="1" applyFill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67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fig_0" displayName="Config_0" ref="A5:E13" totalsRowShown="0">
  <tableColumns count="5">
    <tableColumn id="1" xr3:uid="{00000000-0010-0000-0000-000001000000}" name="参数键"/>
    <tableColumn id="2" xr3:uid="{00000000-0010-0000-0000-000002000000}" name="参数名称"/>
    <tableColumn id="3" xr3:uid="{00000000-0010-0000-0000-000003000000}" name="可编辑值"/>
    <tableColumn id="4" xr3:uid="{00000000-0010-0000-0000-000004000000}" name="单位"/>
    <tableColumn id="5" xr3:uid="{00000000-0010-0000-0000-000005000000}" name="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nfig_1" displayName="Config_1" ref="A5:F179" totalsRowShown="0">
  <tableColumns count="6">
    <tableColumn id="1" xr3:uid="{00000000-0010-0000-0100-000001000000}" name="关卡"/>
    <tableColumn id="2" xr3:uid="{00000000-0010-0000-0100-000002000000}" name="参数键"/>
    <tableColumn id="3" xr3:uid="{00000000-0010-0000-0100-000003000000}" name="参数名称"/>
    <tableColumn id="4" xr3:uid="{00000000-0010-0000-0100-000004000000}" name="关卡覆盖值"/>
    <tableColumn id="5" xr3:uid="{00000000-0010-0000-0100-000005000000}" name="单位"/>
    <tableColumn id="6" xr3:uid="{00000000-0010-0000-0100-000006000000}" name="规则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nfig_2" displayName="Config_2" ref="A5:M97" totalsRowShown="0" dataDxfId="66">
  <tableColumns count="13">
    <tableColumn id="1" xr3:uid="{00000000-0010-0000-0200-000001000000}" name="关卡" dataDxfId="65"/>
    <tableColumn id="2" xr3:uid="{00000000-0010-0000-0200-000002000000}" name="天体ID" dataDxfId="64"/>
    <tableColumn id="3" xr3:uid="{00000000-0010-0000-0200-000003000000}" name="天体名称" dataDxfId="63"/>
    <tableColumn id="4" xr3:uid="{00000000-0010-0000-0200-000004000000}" name="天体种类" dataDxfId="62"/>
    <tableColumn id="5" xr3:uid="{00000000-0010-0000-0200-000005000000}" name="上级天体ID" dataDxfId="61"/>
    <tableColumn id="6" xr3:uid="{00000000-0010-0000-0200-000006000000}" name="生物种类" dataDxfId="60"/>
    <tableColumn id="7" xr3:uid="{00000000-0010-0000-0200-000007000000}" name="初始人口(P)" dataDxfId="59"/>
    <tableColumn id="8" xr3:uid="{00000000-0010-0000-0200-000008000000}" name="轨道顺序" dataDxfId="58"/>
    <tableColumn id="9" xr3:uid="{00000000-0010-0000-0200-000009000000}" name="距离(AU)" dataDxfId="57"/>
    <tableColumn id="10" xr3:uid="{00000000-0010-0000-0200-00000A000000}" name="直径(km)" dataDxfId="56"/>
    <tableColumn id="11" xr3:uid="{00000000-0010-0000-0200-00000B000000}" name="恢复系数(/秒)" dataDxfId="55"/>
    <tableColumn id="12" xr3:uid="{00000000-0010-0000-0200-00000C000000}" name="侦察暴露倍率" dataDxfId="54"/>
    <tableColumn id="13" xr3:uid="{00000000-0010-0000-0200-00000D000000}" name="颜色" dataDxfId="5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onfig_3" displayName="Config_3" ref="A5:F60" totalsRowShown="0" dataDxfId="52">
  <tableColumns count="6">
    <tableColumn id="1" xr3:uid="{00000000-0010-0000-0300-000001000000}" name="关卡" dataDxfId="51"/>
    <tableColumn id="2" xr3:uid="{00000000-0010-0000-0300-000002000000}" name="所属天体ID" dataDxfId="50"/>
    <tableColumn id="3" xr3:uid="{00000000-0010-0000-0300-000003000000}" name="节点ID/组前缀" dataDxfId="49"/>
    <tableColumn id="4" xr3:uid="{00000000-0010-0000-0300-000004000000}" name="节点类型" dataDxfId="48"/>
    <tableColumn id="5" xr3:uid="{00000000-0010-0000-0300-000005000000}" name="数量" dataDxfId="47"/>
    <tableColumn id="6" xr3:uid="{00000000-0010-0000-0300-000006000000}" name="单个节点HP" dataDxfId="4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onfig_4" displayName="Config_4" ref="A5:E18" totalsRowShown="0" dataDxfId="45">
  <tableColumns count="5">
    <tableColumn id="1" xr3:uid="{00000000-0010-0000-0400-000001000000}" name="关卡" dataDxfId="44"/>
    <tableColumn id="2" xr3:uid="{00000000-0010-0000-0400-000002000000}" name="所属天体ID" dataDxfId="43"/>
    <tableColumn id="3" xr3:uid="{00000000-0010-0000-0400-000003000000}" name="起点节点ID" dataDxfId="42"/>
    <tableColumn id="4" xr3:uid="{00000000-0010-0000-0400-000004000000}" name="终点节点ID" dataDxfId="41"/>
    <tableColumn id="5" xr3:uid="{00000000-0010-0000-0400-000005000000}" name="基础信息流速" dataDxfId="4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onfig_6" displayName="Config_6" ref="A5:O15" totalsRowShown="0" dataDxfId="39">
  <tableColumns count="15">
    <tableColumn id="1" xr3:uid="{00000000-0010-0000-0600-000001000000}" name="规则表键" dataDxfId="38"/>
    <tableColumn id="2" xr3:uid="{00000000-0010-0000-0600-000002000000}" name="规则ID" dataDxfId="37"/>
    <tableColumn id="3" xr3:uid="{00000000-0010-0000-0600-000003000000}" name="名称" dataDxfId="36"/>
    <tableColumn id="4" xr3:uid="{00000000-0010-0000-0600-000004000000}" name="作业作用秒" dataDxfId="35"/>
    <tableColumn id="5" xr3:uid="{00000000-0010-0000-0600-000005000000}" name="直接人口伤害(P)" dataDxfId="34"/>
    <tableColumn id="6" xr3:uid="{00000000-0010-0000-0600-000006000000}" name="节点比例伤害" dataDxfId="33"/>
    <tableColumn id="7" xr3:uid="{00000000-0010-0000-0600-000007000000}" name="节点固定伤害" dataDxfId="32"/>
    <tableColumn id="8" xr3:uid="{00000000-0010-0000-0600-000008000000}" name="持续伤害/效果值" dataDxfId="31"/>
    <tableColumn id="9" xr3:uid="{00000000-0010-0000-0600-000009000000}" name="入侵持续秒" dataDxfId="30"/>
    <tableColumn id="10" xr3:uid="{00000000-0010-0000-0600-00000A000000}" name="病毒间隔秒" dataDxfId="29"/>
    <tableColumn id="11" xr3:uid="{00000000-0010-0000-0600-00000B000000}" name="病毒次数" dataDxfId="28"/>
    <tableColumn id="12" xr3:uid="{00000000-0010-0000-0600-00000C000000}" name="信息流速倍率" dataDxfId="27"/>
    <tableColumn id="13" xr3:uid="{00000000-0010-0000-0600-00000D000000}" name="察觉修正" dataDxfId="26"/>
    <tableColumn id="14" xr3:uid="{00000000-0010-0000-0600-00000E000000}" name="熵增量" dataDxfId="25"/>
    <tableColumn id="15" xr3:uid="{00000000-0010-0000-0600-00000F000000}" name="免反制(0/1)" dataDxfId="2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onfig_5" displayName="Config_5" ref="A5:N34" totalsRowShown="0" dataDxfId="23">
  <tableColumns count="14">
    <tableColumn id="1" xr3:uid="{00000000-0010-0000-0500-000001000000}" name="规则表键" dataDxfId="22"/>
    <tableColumn id="2" xr3:uid="{00000000-0010-0000-0500-000002000000}" name="规则ID" dataDxfId="21"/>
    <tableColumn id="3" xr3:uid="{00000000-0010-0000-0500-000003000000}" name="名称" dataDxfId="20"/>
    <tableColumn id="4" xr3:uid="{00000000-0010-0000-0500-000004000000}" name="开放关卡" dataDxfId="19"/>
    <tableColumn id="5" xr3:uid="{00000000-0010-0000-0500-000005000000}" name="消耗能源" dataDxfId="18"/>
    <tableColumn id="6" xr3:uid="{00000000-0010-0000-0500-000006000000}" name="消耗物质" dataDxfId="17"/>
    <tableColumn id="7" xr3:uid="{00000000-0010-0000-0500-000007000000}" name="消耗信息" dataDxfId="16"/>
    <tableColumn id="8" xr3:uid="{00000000-0010-0000-0500-000008000000}" name="消耗一级武装" dataDxfId="15"/>
    <tableColumn id="9" xr3:uid="{00000000-0010-0000-0500-000009000000}" name="消耗二级武装" dataDxfId="14"/>
    <tableColumn id="10" xr3:uid="{00000000-0010-0000-0500-00000A000000}" name="消耗三级武装" dataDxfId="13"/>
    <tableColumn id="11" xr3:uid="{00000000-0010-0000-0500-00000B000000}" name="制造/建造秒" dataDxfId="12"/>
    <tableColumn id="12" xr3:uid="{00000000-0010-0000-0500-00000C000000}" name="每批产出" dataDxfId="11"/>
    <tableColumn id="13" xr3:uid="{00000000-0010-0000-0500-00000D000000}" name="首座设施产出/秒" dataDxfId="10"/>
    <tableColumn id="14" xr3:uid="{00000000-0010-0000-0500-00000E000000}" name="锁定(0/1)" dataDxfId="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onfig_7" displayName="Config_7" ref="A5:H9" totalsRowShown="0" dataDxfId="8">
  <tableColumns count="8">
    <tableColumn id="1" xr3:uid="{00000000-0010-0000-0700-000001000000}" name="规则表键" dataDxfId="7"/>
    <tableColumn id="2" xr3:uid="{00000000-0010-0000-0700-000002000000}" name="载体ID" dataDxfId="6"/>
    <tableColumn id="3" xr3:uid="{00000000-0010-0000-0700-000003000000}" name="载体名称" dataDxfId="5"/>
    <tableColumn id="4" xr3:uid="{00000000-0010-0000-0700-000004000000}" name="打击槽" dataDxfId="4"/>
    <tableColumn id="5" xr3:uid="{00000000-0010-0000-0700-000005000000}" name="科技槽" dataDxfId="3"/>
    <tableColumn id="6" xr3:uid="{00000000-0010-0000-0700-000006000000}" name="搭载等级(0-3)" dataDxfId="2"/>
    <tableColumn id="7" xr3:uid="{00000000-0010-0000-0700-000007000000}" name="航行秒" dataDxfId="1"/>
    <tableColumn id="8" xr3:uid="{00000000-0010-0000-0700-000008000000}" name="暴露值" dataDxfId="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onfig_8" displayName="Config_8" ref="A5:D81" totalsRowShown="0">
  <tableColumns count="4">
    <tableColumn id="1" xr3:uid="{00000000-0010-0000-0800-000001000000}" name="参数键"/>
    <tableColumn id="2" xr3:uid="{00000000-0010-0000-0800-000002000000}" name="参数名称"/>
    <tableColumn id="3" xr3:uid="{00000000-0010-0000-0800-000003000000}" name="可编辑值"/>
    <tableColumn id="4" xr3:uid="{00000000-0010-0000-0800-000004000000}" name="规则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63F5C"/>
  </sheetPr>
  <dimension ref="A1:K13"/>
  <sheetViews>
    <sheetView showGridLines="0" workbookViewId="0"/>
  </sheetViews>
  <sheetFormatPr defaultRowHeight="13.5"/>
  <cols>
    <col min="1" max="1" width="11" customWidth="1"/>
    <col min="2" max="2" width="35" customWidth="1"/>
    <col min="3" max="11" width="20" customWidth="1"/>
  </cols>
  <sheetData>
    <row r="1" spans="1:11" ht="29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9" customHeight="1">
      <c r="A2" s="8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9" customHeight="1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9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36" customHeight="1">
      <c r="A5" s="7" t="s">
        <v>2</v>
      </c>
      <c r="B5" s="7" t="s">
        <v>3</v>
      </c>
      <c r="C5" s="7" t="s">
        <v>4</v>
      </c>
      <c r="D5" s="7" t="s">
        <v>5</v>
      </c>
      <c r="E5" s="7" t="s">
        <v>6</v>
      </c>
      <c r="F5" s="7" t="s">
        <v>7</v>
      </c>
      <c r="G5" s="7" t="s">
        <v>8</v>
      </c>
      <c r="H5" s="7" t="s">
        <v>9</v>
      </c>
      <c r="I5" s="7" t="s">
        <v>10</v>
      </c>
      <c r="J5" s="7" t="s">
        <v>11</v>
      </c>
      <c r="K5" s="7" t="s">
        <v>12</v>
      </c>
    </row>
    <row r="6" spans="1:11" ht="29" customHeight="1">
      <c r="A6" s="1">
        <v>1</v>
      </c>
      <c r="B6" s="1" t="s">
        <v>13</v>
      </c>
      <c r="C6" s="9">
        <f>COUNTIFS(天体配置!$A$6:$A$10000,$A6,天体配置!$D$6:$D$10000,"恒星")</f>
        <v>1</v>
      </c>
      <c r="D6" s="9">
        <f>COUNTIFS(天体配置!$A$6:$A$10000,$A6,天体配置!$D$6:$D$10000,"行星")</f>
        <v>3</v>
      </c>
      <c r="E6" s="9">
        <f>COUNTIFS(天体配置!$A$6:$A$10000,$A6,天体配置!$D$6:$D$10000,"卫星")</f>
        <v>1</v>
      </c>
      <c r="F6" s="9">
        <f>COUNTIFS(天体配置!$A$6:$A$10000,$A6,天体配置!$D$6:$D$10000,"人工天体")</f>
        <v>0</v>
      </c>
      <c r="G6" s="10">
        <f>ROUND(SUMIFS(天体配置!$G$6:$G$10000,天体配置!$A$6:$A$10000,$A6),1)</f>
        <v>144</v>
      </c>
      <c r="H6" s="9">
        <f>SUMIFS(节点配置!$E$6:$E$10000,节点配置!$A$6:$A$10000,$A6)</f>
        <v>4</v>
      </c>
      <c r="I6" s="9">
        <f>IF(COUNTIFS(关卡参数!$A$6:$A$500,$A6,关卡参数!$B$6:$B$500,"energy",关卡参数!$D$6:$D$500,"&lt;&gt;")=0,全局资源!$C$6,SUMIFS(关卡参数!$D$6:$D$500,关卡参数!$A$6:$A$500,$A6,关卡参数!$B$6:$B$500,"energy"))</f>
        <v>150</v>
      </c>
      <c r="J6" s="9">
        <f>IF(COUNTIFS(关卡参数!$A$6:$A$500,$A6,关卡参数!$B$6:$B$500,"matter",关卡参数!$D$6:$D$500,"&lt;&gt;")=0,全局资源!$C$7,SUMIFS(关卡参数!$D$6:$D$500,关卡参数!$A$6:$A$500,$A6,关卡参数!$B$6:$B$500,"matter"))</f>
        <v>150</v>
      </c>
      <c r="K6" s="9">
        <f>IF(COUNTIFS(关卡参数!$A$6:$A$500,$A6,关卡参数!$B$6:$B$500,"info",关卡参数!$D$6:$D$500,"&lt;&gt;")=0,全局资源!$C$8,SUMIFS(关卡参数!$D$6:$D$500,关卡参数!$A$6:$A$500,$A6,关卡参数!$B$6:$B$500,"info"))</f>
        <v>40</v>
      </c>
    </row>
    <row r="7" spans="1:11" ht="29" customHeight="1">
      <c r="A7" s="1">
        <v>2</v>
      </c>
      <c r="B7" s="1" t="s">
        <v>14</v>
      </c>
      <c r="C7" s="9">
        <f>COUNTIFS(天体配置!$A$6:$A$10000,$A7,天体配置!$D$6:$D$10000,"恒星")</f>
        <v>1</v>
      </c>
      <c r="D7" s="9">
        <f>COUNTIFS(天体配置!$A$6:$A$10000,$A7,天体配置!$D$6:$D$10000,"行星")</f>
        <v>3</v>
      </c>
      <c r="E7" s="9">
        <f>COUNTIFS(天体配置!$A$6:$A$10000,$A7,天体配置!$D$6:$D$10000,"卫星")</f>
        <v>3</v>
      </c>
      <c r="F7" s="9">
        <f>COUNTIFS(天体配置!$A$6:$A$10000,$A7,天体配置!$D$6:$D$10000,"人工天体")</f>
        <v>2</v>
      </c>
      <c r="G7" s="10">
        <f>ROUND(SUMIFS(天体配置!$G$6:$G$10000,天体配置!$A$6:$A$10000,$A7),1)</f>
        <v>540</v>
      </c>
      <c r="H7" s="9">
        <f>SUMIFS(节点配置!$E$6:$E$10000,节点配置!$A$6:$A$10000,$A7)</f>
        <v>6</v>
      </c>
      <c r="I7" s="9">
        <f>IF(COUNTIFS(关卡参数!$A$6:$A$500,$A7,关卡参数!$B$6:$B$500,"energy",关卡参数!$D$6:$D$500,"&lt;&gt;")=0,全局资源!$C$6,SUMIFS(关卡参数!$D$6:$D$500,关卡参数!$A$6:$A$500,$A7,关卡参数!$B$6:$B$500,"energy"))</f>
        <v>150</v>
      </c>
      <c r="J7" s="9">
        <f>IF(COUNTIFS(关卡参数!$A$6:$A$500,$A7,关卡参数!$B$6:$B$500,"matter",关卡参数!$D$6:$D$500,"&lt;&gt;")=0,全局资源!$C$7,SUMIFS(关卡参数!$D$6:$D$500,关卡参数!$A$6:$A$500,$A7,关卡参数!$B$6:$B$500,"matter"))</f>
        <v>150</v>
      </c>
      <c r="K7" s="9">
        <f>IF(COUNTIFS(关卡参数!$A$6:$A$500,$A7,关卡参数!$B$6:$B$500,"info",关卡参数!$D$6:$D$500,"&lt;&gt;")=0,全局资源!$C$8,SUMIFS(关卡参数!$D$6:$D$500,关卡参数!$A$6:$A$500,$A7,关卡参数!$B$6:$B$500,"info"))</f>
        <v>40</v>
      </c>
    </row>
    <row r="8" spans="1:11" ht="29" customHeight="1">
      <c r="A8" s="1">
        <v>3</v>
      </c>
      <c r="B8" s="1" t="s">
        <v>15</v>
      </c>
      <c r="C8" s="9">
        <f>COUNTIFS(天体配置!$A$6:$A$10000,$A8,天体配置!$D$6:$D$10000,"恒星")</f>
        <v>1</v>
      </c>
      <c r="D8" s="9">
        <f>COUNTIFS(天体配置!$A$6:$A$10000,$A8,天体配置!$D$6:$D$10000,"行星")</f>
        <v>5</v>
      </c>
      <c r="E8" s="9">
        <f>COUNTIFS(天体配置!$A$6:$A$10000,$A8,天体配置!$D$6:$D$10000,"卫星")</f>
        <v>5</v>
      </c>
      <c r="F8" s="9">
        <f>COUNTIFS(天体配置!$A$6:$A$10000,$A8,天体配置!$D$6:$D$10000,"人工天体")</f>
        <v>3</v>
      </c>
      <c r="G8" s="10">
        <f>ROUND(SUMIFS(天体配置!$G$6:$G$10000,天体配置!$A$6:$A$10000,$A8),1)</f>
        <v>1050</v>
      </c>
      <c r="H8" s="9">
        <f>SUMIFS(节点配置!$E$6:$E$10000,节点配置!$A$6:$A$10000,$A8)</f>
        <v>4</v>
      </c>
      <c r="I8" s="9">
        <f>IF(COUNTIFS(关卡参数!$A$6:$A$500,$A8,关卡参数!$B$6:$B$500,"energy",关卡参数!$D$6:$D$500,"&lt;&gt;")=0,全局资源!$C$6,SUMIFS(关卡参数!$D$6:$D$500,关卡参数!$A$6:$A$500,$A8,关卡参数!$B$6:$B$500,"energy"))</f>
        <v>150</v>
      </c>
      <c r="J8" s="9">
        <f>IF(COUNTIFS(关卡参数!$A$6:$A$500,$A8,关卡参数!$B$6:$B$500,"matter",关卡参数!$D$6:$D$500,"&lt;&gt;")=0,全局资源!$C$7,SUMIFS(关卡参数!$D$6:$D$500,关卡参数!$A$6:$A$500,$A8,关卡参数!$B$6:$B$500,"matter"))</f>
        <v>150</v>
      </c>
      <c r="K8" s="9">
        <f>IF(COUNTIFS(关卡参数!$A$6:$A$500,$A8,关卡参数!$B$6:$B$500,"info",关卡参数!$D$6:$D$500,"&lt;&gt;")=0,全局资源!$C$8,SUMIFS(关卡参数!$D$6:$D$500,关卡参数!$A$6:$A$500,$A8,关卡参数!$B$6:$B$500,"info"))</f>
        <v>40</v>
      </c>
    </row>
    <row r="9" spans="1:11" ht="29" customHeight="1">
      <c r="A9" s="1">
        <v>4</v>
      </c>
      <c r="B9" s="1" t="s">
        <v>16</v>
      </c>
      <c r="C9" s="9">
        <f>COUNTIFS(天体配置!$A$6:$A$10000,$A9,天体配置!$D$6:$D$10000,"恒星")</f>
        <v>1</v>
      </c>
      <c r="D9" s="9">
        <f>COUNTIFS(天体配置!$A$6:$A$10000,$A9,天体配置!$D$6:$D$10000,"行星")</f>
        <v>8</v>
      </c>
      <c r="E9" s="9">
        <f>COUNTIFS(天体配置!$A$6:$A$10000,$A9,天体配置!$D$6:$D$10000,"卫星")</f>
        <v>10</v>
      </c>
      <c r="F9" s="9">
        <f>COUNTIFS(天体配置!$A$6:$A$10000,$A9,天体配置!$D$6:$D$10000,"人工天体")</f>
        <v>3</v>
      </c>
      <c r="G9" s="10">
        <f>ROUND(SUMIFS(天体配置!$G$6:$G$10000,天体配置!$A$6:$A$10000,$A9),1)</f>
        <v>1650</v>
      </c>
      <c r="H9" s="9">
        <f>SUMIFS(节点配置!$E$6:$E$10000,节点配置!$A$6:$A$10000,$A9)</f>
        <v>25</v>
      </c>
      <c r="I9" s="9">
        <f>IF(COUNTIFS(关卡参数!$A$6:$A$500,$A9,关卡参数!$B$6:$B$500,"energy",关卡参数!$D$6:$D$500,"&lt;&gt;")=0,全局资源!$C$6,SUMIFS(关卡参数!$D$6:$D$500,关卡参数!$A$6:$A$500,$A9,关卡参数!$B$6:$B$500,"energy"))</f>
        <v>150</v>
      </c>
      <c r="J9" s="9">
        <f>IF(COUNTIFS(关卡参数!$A$6:$A$500,$A9,关卡参数!$B$6:$B$500,"matter",关卡参数!$D$6:$D$500,"&lt;&gt;")=0,全局资源!$C$7,SUMIFS(关卡参数!$D$6:$D$500,关卡参数!$A$6:$A$500,$A9,关卡参数!$B$6:$B$500,"matter"))</f>
        <v>150</v>
      </c>
      <c r="K9" s="9">
        <f>IF(COUNTIFS(关卡参数!$A$6:$A$500,$A9,关卡参数!$B$6:$B$500,"info",关卡参数!$D$6:$D$500,"&lt;&gt;")=0,全局资源!$C$8,SUMIFS(关卡参数!$D$6:$D$500,关卡参数!$A$6:$A$500,$A9,关卡参数!$B$6:$B$500,"info"))</f>
        <v>40</v>
      </c>
    </row>
    <row r="10" spans="1:11" ht="29" customHeight="1">
      <c r="A10" s="1">
        <v>5</v>
      </c>
      <c r="B10" s="1" t="s">
        <v>17</v>
      </c>
      <c r="C10" s="9">
        <f>COUNTIFS(天体配置!$A$6:$A$10000,$A10,天体配置!$D$6:$D$10000,"恒星")</f>
        <v>1</v>
      </c>
      <c r="D10" s="9">
        <f>COUNTIFS(天体配置!$A$6:$A$10000,$A10,天体配置!$D$6:$D$10000,"行星")</f>
        <v>6</v>
      </c>
      <c r="E10" s="9">
        <f>COUNTIFS(天体配置!$A$6:$A$10000,$A10,天体配置!$D$6:$D$10000,"卫星")</f>
        <v>8</v>
      </c>
      <c r="F10" s="9">
        <f>COUNTIFS(天体配置!$A$6:$A$10000,$A10,天体配置!$D$6:$D$10000,"人工天体")</f>
        <v>4</v>
      </c>
      <c r="G10" s="10">
        <f>ROUND(SUMIFS(天体配置!$G$6:$G$10000,天体配置!$A$6:$A$10000,$A10),1)</f>
        <v>2300</v>
      </c>
      <c r="H10" s="9">
        <f>SUMIFS(节点配置!$E$6:$E$10000,节点配置!$A$6:$A$10000,$A10)</f>
        <v>6</v>
      </c>
      <c r="I10" s="9">
        <f>IF(COUNTIFS(关卡参数!$A$6:$A$500,$A10,关卡参数!$B$6:$B$500,"energy",关卡参数!$D$6:$D$500,"&lt;&gt;")=0,全局资源!$C$6,SUMIFS(关卡参数!$D$6:$D$500,关卡参数!$A$6:$A$500,$A10,关卡参数!$B$6:$B$500,"energy"))</f>
        <v>150</v>
      </c>
      <c r="J10" s="9">
        <f>IF(COUNTIFS(关卡参数!$A$6:$A$500,$A10,关卡参数!$B$6:$B$500,"matter",关卡参数!$D$6:$D$500,"&lt;&gt;")=0,全局资源!$C$7,SUMIFS(关卡参数!$D$6:$D$500,关卡参数!$A$6:$A$500,$A10,关卡参数!$B$6:$B$500,"matter"))</f>
        <v>150</v>
      </c>
      <c r="K10" s="9">
        <f>IF(COUNTIFS(关卡参数!$A$6:$A$500,$A10,关卡参数!$B$6:$B$500,"info",关卡参数!$D$6:$D$500,"&lt;&gt;")=0,全局资源!$C$8,SUMIFS(关卡参数!$D$6:$D$500,关卡参数!$A$6:$A$500,$A10,关卡参数!$B$6:$B$500,"info"))</f>
        <v>50</v>
      </c>
    </row>
    <row r="11" spans="1:11" ht="29" customHeight="1">
      <c r="A11" s="1">
        <v>6</v>
      </c>
      <c r="B11" s="1" t="s">
        <v>18</v>
      </c>
      <c r="C11" s="9">
        <f>COUNTIFS(天体配置!$A$6:$A$10000,$A11,天体配置!$D$6:$D$10000,"恒星")</f>
        <v>1</v>
      </c>
      <c r="D11" s="9">
        <f>COUNTIFS(天体配置!$A$6:$A$10000,$A11,天体配置!$D$6:$D$10000,"行星")</f>
        <v>7</v>
      </c>
      <c r="E11" s="9">
        <f>COUNTIFS(天体配置!$A$6:$A$10000,$A11,天体配置!$D$6:$D$10000,"卫星")</f>
        <v>10</v>
      </c>
      <c r="F11" s="9">
        <f>COUNTIFS(天体配置!$A$6:$A$10000,$A11,天体配置!$D$6:$D$10000,"人工天体")</f>
        <v>5</v>
      </c>
      <c r="G11" s="10">
        <f>ROUND(SUMIFS(天体配置!$G$6:$G$10000,天体配置!$A$6:$A$10000,$A11),1)</f>
        <v>2900</v>
      </c>
      <c r="H11" s="9">
        <f>SUMIFS(节点配置!$E$6:$E$10000,节点配置!$A$6:$A$10000,$A11)</f>
        <v>10</v>
      </c>
      <c r="I11" s="9">
        <f>IF(COUNTIFS(关卡参数!$A$6:$A$500,$A11,关卡参数!$B$6:$B$500,"energy",关卡参数!$D$6:$D$500,"&lt;&gt;")=0,全局资源!$C$6,SUMIFS(关卡参数!$D$6:$D$500,关卡参数!$A$6:$A$500,$A11,关卡参数!$B$6:$B$500,"energy"))</f>
        <v>150</v>
      </c>
      <c r="J11" s="9">
        <f>IF(COUNTIFS(关卡参数!$A$6:$A$500,$A11,关卡参数!$B$6:$B$500,"matter",关卡参数!$D$6:$D$500,"&lt;&gt;")=0,全局资源!$C$7,SUMIFS(关卡参数!$D$6:$D$500,关卡参数!$A$6:$A$500,$A11,关卡参数!$B$6:$B$500,"matter"))</f>
        <v>150</v>
      </c>
      <c r="K11" s="9">
        <f>IF(COUNTIFS(关卡参数!$A$6:$A$500,$A11,关卡参数!$B$6:$B$500,"info",关卡参数!$D$6:$D$500,"&lt;&gt;")=0,全局资源!$C$8,SUMIFS(关卡参数!$D$6:$D$500,关卡参数!$A$6:$A$500,$A11,关卡参数!$B$6:$B$500,"info"))</f>
        <v>60</v>
      </c>
    </row>
    <row r="12" spans="1:11" ht="29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9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showGridLines="0" zoomScale="85" zoomScaleNormal="85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5"/>
  <cols>
    <col min="1" max="1" width="32" customWidth="1"/>
    <col min="2" max="2" width="26" customWidth="1"/>
    <col min="3" max="3" width="18" customWidth="1"/>
    <col min="4" max="4" width="16" customWidth="1"/>
    <col min="5" max="5" width="54" customWidth="1"/>
  </cols>
  <sheetData>
    <row r="1" spans="1:5">
      <c r="A1" s="2"/>
      <c r="B1" s="2"/>
      <c r="C1" s="2"/>
      <c r="D1" s="2"/>
      <c r="E1" s="2"/>
    </row>
    <row r="2" spans="1:5" ht="20.65">
      <c r="A2" s="3" t="s">
        <v>19</v>
      </c>
      <c r="B2" s="2"/>
      <c r="C2" s="2"/>
      <c r="D2" s="2"/>
      <c r="E2" s="2"/>
    </row>
    <row r="3" spans="1:5">
      <c r="A3" s="2" t="s">
        <v>20</v>
      </c>
      <c r="B3" s="2"/>
      <c r="C3" s="2"/>
      <c r="D3" s="2"/>
      <c r="E3" s="2"/>
    </row>
    <row r="4" spans="1:5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</row>
    <row r="5" spans="1:5" ht="34.049999999999997" customHeight="1">
      <c r="A5" s="7" t="s">
        <v>26</v>
      </c>
      <c r="B5" s="7" t="s">
        <v>27</v>
      </c>
      <c r="C5" s="7" t="s">
        <v>28</v>
      </c>
      <c r="D5" s="7" t="s">
        <v>29</v>
      </c>
      <c r="E5" s="7" t="s">
        <v>30</v>
      </c>
    </row>
    <row r="6" spans="1:5" ht="25.05" customHeight="1">
      <c r="A6" s="6" t="s">
        <v>31</v>
      </c>
      <c r="B6" s="6" t="s">
        <v>10</v>
      </c>
      <c r="C6" s="5">
        <v>150</v>
      </c>
      <c r="D6" s="6" t="s">
        <v>29</v>
      </c>
      <c r="E6" s="6" t="s">
        <v>32</v>
      </c>
    </row>
    <row r="7" spans="1:5" ht="25.05" customHeight="1">
      <c r="A7" s="6" t="s">
        <v>33</v>
      </c>
      <c r="B7" s="6" t="s">
        <v>11</v>
      </c>
      <c r="C7" s="5">
        <v>150</v>
      </c>
      <c r="D7" s="6" t="s">
        <v>29</v>
      </c>
      <c r="E7" s="6" t="s">
        <v>32</v>
      </c>
    </row>
    <row r="8" spans="1:5" ht="25.05" customHeight="1">
      <c r="A8" s="6" t="s">
        <v>34</v>
      </c>
      <c r="B8" s="6" t="s">
        <v>12</v>
      </c>
      <c r="C8" s="5">
        <v>40</v>
      </c>
      <c r="D8" s="6" t="s">
        <v>29</v>
      </c>
      <c r="E8" s="6" t="s">
        <v>32</v>
      </c>
    </row>
    <row r="9" spans="1:5" ht="25.05" customHeight="1">
      <c r="A9" s="6" t="s">
        <v>35</v>
      </c>
      <c r="B9" s="6" t="s">
        <v>36</v>
      </c>
      <c r="C9" s="5">
        <v>28</v>
      </c>
      <c r="D9" s="6" t="s">
        <v>29</v>
      </c>
      <c r="E9" s="6" t="s">
        <v>32</v>
      </c>
    </row>
    <row r="10" spans="1:5" ht="25.05" customHeight="1">
      <c r="A10" s="6" t="s">
        <v>37</v>
      </c>
      <c r="B10" s="6" t="s">
        <v>38</v>
      </c>
      <c r="C10" s="5">
        <v>0</v>
      </c>
      <c r="D10" s="6" t="s">
        <v>29</v>
      </c>
      <c r="E10" s="6" t="s">
        <v>32</v>
      </c>
    </row>
    <row r="11" spans="1:5" ht="25.05" customHeight="1">
      <c r="A11" s="6" t="s">
        <v>39</v>
      </c>
      <c r="B11" s="6" t="s">
        <v>40</v>
      </c>
      <c r="C11" s="5">
        <v>0</v>
      </c>
      <c r="D11" s="6" t="s">
        <v>29</v>
      </c>
      <c r="E11" s="6" t="s">
        <v>32</v>
      </c>
    </row>
    <row r="12" spans="1:5" ht="25.05" customHeight="1">
      <c r="A12" s="6" t="s">
        <v>41</v>
      </c>
      <c r="B12" s="6" t="s">
        <v>42</v>
      </c>
      <c r="C12" s="5">
        <v>1.2</v>
      </c>
      <c r="D12" s="6" t="s">
        <v>43</v>
      </c>
      <c r="E12" s="6" t="s">
        <v>44</v>
      </c>
    </row>
    <row r="13" spans="1:5" ht="25.05" customHeight="1">
      <c r="A13" s="6" t="s">
        <v>45</v>
      </c>
      <c r="B13" s="6" t="s">
        <v>46</v>
      </c>
      <c r="C13" s="5">
        <v>0.8</v>
      </c>
      <c r="D13" s="6" t="s">
        <v>43</v>
      </c>
      <c r="E13" s="6" t="s">
        <v>44</v>
      </c>
    </row>
    <row r="14" spans="1:5">
      <c r="A14" s="2"/>
      <c r="B14" s="2"/>
      <c r="C14" s="2"/>
      <c r="D14" s="2"/>
      <c r="E14" s="2"/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0"/>
  <sheetViews>
    <sheetView showGridLines="0" zoomScale="85" zoomScaleNormal="85" workbookViewId="0">
      <pane xSplit="1" ySplit="5" topLeftCell="B6" activePane="bottomRight" state="frozen"/>
      <selection pane="topRight"/>
      <selection pane="bottomLeft"/>
      <selection pane="bottomRight" activeCell="D24" sqref="D24"/>
    </sheetView>
  </sheetViews>
  <sheetFormatPr defaultRowHeight="13.5"/>
  <cols>
    <col min="1" max="1" width="9" customWidth="1"/>
    <col min="2" max="2" width="26" customWidth="1"/>
    <col min="3" max="3" width="31" customWidth="1"/>
    <col min="4" max="4" width="20" customWidth="1"/>
    <col min="5" max="5" width="13" customWidth="1"/>
    <col min="6" max="6" width="50" customWidth="1"/>
  </cols>
  <sheetData>
    <row r="1" spans="1:6">
      <c r="A1" s="2"/>
      <c r="B1" s="2"/>
      <c r="C1" s="2"/>
      <c r="D1" s="2"/>
      <c r="E1" s="2"/>
      <c r="F1" s="2"/>
    </row>
    <row r="2" spans="1:6" ht="20.65">
      <c r="A2" s="3" t="s">
        <v>47</v>
      </c>
      <c r="B2" s="2"/>
      <c r="C2" s="2"/>
      <c r="D2" s="2"/>
      <c r="E2" s="2"/>
      <c r="F2" s="2"/>
    </row>
    <row r="3" spans="1:6">
      <c r="A3" s="2" t="s">
        <v>48</v>
      </c>
      <c r="B3" s="2"/>
      <c r="C3" s="2"/>
      <c r="D3" s="2"/>
      <c r="E3" s="2"/>
      <c r="F3" s="2"/>
    </row>
    <row r="4" spans="1:6">
      <c r="A4" s="4" t="s">
        <v>49</v>
      </c>
      <c r="B4" s="4" t="s">
        <v>21</v>
      </c>
      <c r="C4" s="4" t="s">
        <v>22</v>
      </c>
      <c r="D4" s="4" t="s">
        <v>23</v>
      </c>
      <c r="E4" s="4" t="s">
        <v>24</v>
      </c>
      <c r="F4" s="4" t="s">
        <v>25</v>
      </c>
    </row>
    <row r="5" spans="1:6" ht="34.049999999999997" customHeight="1">
      <c r="A5" s="7" t="s">
        <v>2</v>
      </c>
      <c r="B5" s="7" t="s">
        <v>26</v>
      </c>
      <c r="C5" s="7" t="s">
        <v>27</v>
      </c>
      <c r="D5" s="7" t="s">
        <v>50</v>
      </c>
      <c r="E5" s="7" t="s">
        <v>29</v>
      </c>
      <c r="F5" s="7" t="s">
        <v>51</v>
      </c>
    </row>
    <row r="6" spans="1:6" ht="25.05" customHeight="1">
      <c r="A6" s="6">
        <v>1</v>
      </c>
      <c r="B6" s="6" t="s">
        <v>52</v>
      </c>
      <c r="C6" s="6" t="s">
        <v>53</v>
      </c>
      <c r="D6" s="5">
        <v>2407</v>
      </c>
      <c r="E6" s="6" t="s">
        <v>54</v>
      </c>
      <c r="F6" s="6" t="s">
        <v>55</v>
      </c>
    </row>
    <row r="7" spans="1:6" ht="25.05" customHeight="1">
      <c r="A7" s="6">
        <v>1</v>
      </c>
      <c r="B7" s="6" t="s">
        <v>56</v>
      </c>
      <c r="C7" s="6" t="s">
        <v>57</v>
      </c>
      <c r="D7" s="5" t="s">
        <v>58</v>
      </c>
      <c r="E7" s="6" t="s">
        <v>54</v>
      </c>
      <c r="F7" s="6" t="s">
        <v>55</v>
      </c>
    </row>
    <row r="8" spans="1:6" ht="25.05" customHeight="1">
      <c r="A8" s="6">
        <v>1</v>
      </c>
      <c r="B8" s="6" t="s">
        <v>59</v>
      </c>
      <c r="C8" s="6" t="s">
        <v>38</v>
      </c>
      <c r="D8" s="5"/>
      <c r="E8" s="6" t="s">
        <v>54</v>
      </c>
      <c r="F8" s="6" t="s">
        <v>60</v>
      </c>
    </row>
    <row r="9" spans="1:6" ht="25.05" customHeight="1">
      <c r="A9" s="6">
        <v>1</v>
      </c>
      <c r="B9" s="6" t="s">
        <v>61</v>
      </c>
      <c r="C9" s="6" t="s">
        <v>40</v>
      </c>
      <c r="D9" s="5"/>
      <c r="E9" s="6" t="s">
        <v>54</v>
      </c>
      <c r="F9" s="6" t="s">
        <v>60</v>
      </c>
    </row>
    <row r="10" spans="1:6" ht="25.05" customHeight="1">
      <c r="A10" s="6">
        <v>1</v>
      </c>
      <c r="B10" s="6" t="s">
        <v>62</v>
      </c>
      <c r="C10" s="6" t="s">
        <v>63</v>
      </c>
      <c r="D10" s="5">
        <v>600</v>
      </c>
      <c r="E10" s="6" t="s">
        <v>64</v>
      </c>
      <c r="F10" s="6" t="s">
        <v>55</v>
      </c>
    </row>
    <row r="11" spans="1:6" ht="25.05" customHeight="1">
      <c r="A11" s="6">
        <v>1</v>
      </c>
      <c r="B11" s="6" t="s">
        <v>65</v>
      </c>
      <c r="C11" s="6" t="s">
        <v>10</v>
      </c>
      <c r="D11" s="5"/>
      <c r="E11" s="6" t="s">
        <v>54</v>
      </c>
      <c r="F11" s="6" t="s">
        <v>60</v>
      </c>
    </row>
    <row r="12" spans="1:6" ht="25.05" customHeight="1">
      <c r="A12" s="6">
        <v>1</v>
      </c>
      <c r="B12" s="6" t="s">
        <v>66</v>
      </c>
      <c r="C12" s="6" t="s">
        <v>11</v>
      </c>
      <c r="D12" s="5"/>
      <c r="E12" s="6" t="s">
        <v>54</v>
      </c>
      <c r="F12" s="6" t="s">
        <v>60</v>
      </c>
    </row>
    <row r="13" spans="1:6" ht="25.05" customHeight="1">
      <c r="A13" s="6">
        <v>1</v>
      </c>
      <c r="B13" s="6" t="s">
        <v>67</v>
      </c>
      <c r="C13" s="6" t="s">
        <v>12</v>
      </c>
      <c r="D13" s="5"/>
      <c r="E13" s="6" t="s">
        <v>54</v>
      </c>
      <c r="F13" s="6" t="s">
        <v>60</v>
      </c>
    </row>
    <row r="14" spans="1:6" ht="25.05" customHeight="1">
      <c r="A14" s="6">
        <v>1</v>
      </c>
      <c r="B14" s="6" t="s">
        <v>68</v>
      </c>
      <c r="C14" s="6" t="s">
        <v>36</v>
      </c>
      <c r="D14" s="5">
        <v>16</v>
      </c>
      <c r="E14" s="6" t="s">
        <v>54</v>
      </c>
      <c r="F14" s="6" t="s">
        <v>60</v>
      </c>
    </row>
    <row r="15" spans="1:6" ht="25.05" customHeight="1">
      <c r="A15" s="6">
        <v>1</v>
      </c>
      <c r="B15" s="6" t="s">
        <v>41</v>
      </c>
      <c r="C15" s="6" t="s">
        <v>42</v>
      </c>
      <c r="D15" s="5"/>
      <c r="E15" s="6" t="s">
        <v>69</v>
      </c>
      <c r="F15" s="6" t="s">
        <v>60</v>
      </c>
    </row>
    <row r="16" spans="1:6" ht="25.05" customHeight="1">
      <c r="A16" s="6">
        <v>1</v>
      </c>
      <c r="B16" s="6" t="s">
        <v>45</v>
      </c>
      <c r="C16" s="6" t="s">
        <v>46</v>
      </c>
      <c r="D16" s="5"/>
      <c r="E16" s="6" t="s">
        <v>69</v>
      </c>
      <c r="F16" s="6" t="s">
        <v>60</v>
      </c>
    </row>
    <row r="17" spans="1:6" ht="25.05" customHeight="1">
      <c r="A17" s="6">
        <v>1</v>
      </c>
      <c r="B17" s="6" t="s">
        <v>70</v>
      </c>
      <c r="C17" s="6" t="s">
        <v>71</v>
      </c>
      <c r="D17" s="5"/>
      <c r="E17" s="6" t="s">
        <v>54</v>
      </c>
      <c r="F17" s="6" t="s">
        <v>60</v>
      </c>
    </row>
    <row r="18" spans="1:6" ht="25.05" customHeight="1">
      <c r="A18" s="6">
        <v>1</v>
      </c>
      <c r="B18" s="6" t="s">
        <v>72</v>
      </c>
      <c r="C18" s="6" t="s">
        <v>73</v>
      </c>
      <c r="D18" s="5"/>
      <c r="E18" s="6" t="s">
        <v>54</v>
      </c>
      <c r="F18" s="6" t="s">
        <v>60</v>
      </c>
    </row>
    <row r="19" spans="1:6" ht="25.05" customHeight="1">
      <c r="A19" s="6">
        <v>1</v>
      </c>
      <c r="B19" s="6" t="s">
        <v>74</v>
      </c>
      <c r="C19" s="6" t="s">
        <v>75</v>
      </c>
      <c r="D19" s="5">
        <v>5</v>
      </c>
      <c r="E19" s="6" t="s">
        <v>54</v>
      </c>
      <c r="F19" s="6" t="s">
        <v>55</v>
      </c>
    </row>
    <row r="20" spans="1:6" ht="25.05" customHeight="1">
      <c r="A20" s="6">
        <v>1</v>
      </c>
      <c r="B20" s="6" t="s">
        <v>76</v>
      </c>
      <c r="C20" s="6" t="s">
        <v>77</v>
      </c>
      <c r="D20" s="5">
        <v>0</v>
      </c>
      <c r="E20" s="6" t="s">
        <v>54</v>
      </c>
      <c r="F20" s="6" t="s">
        <v>55</v>
      </c>
    </row>
    <row r="21" spans="1:6" ht="25.05" customHeight="1">
      <c r="A21" s="6">
        <v>1</v>
      </c>
      <c r="B21" s="6" t="s">
        <v>78</v>
      </c>
      <c r="C21" s="6" t="s">
        <v>79</v>
      </c>
      <c r="D21" s="5">
        <v>0</v>
      </c>
      <c r="E21" s="6" t="s">
        <v>54</v>
      </c>
      <c r="F21" s="6" t="s">
        <v>55</v>
      </c>
    </row>
    <row r="22" spans="1:6" ht="25.05" customHeight="1">
      <c r="A22" s="6">
        <v>1</v>
      </c>
      <c r="B22" s="6" t="s">
        <v>80</v>
      </c>
      <c r="C22" s="6" t="s">
        <v>81</v>
      </c>
      <c r="D22" s="5">
        <v>0</v>
      </c>
      <c r="E22" s="6" t="s">
        <v>69</v>
      </c>
      <c r="F22" s="6" t="s">
        <v>55</v>
      </c>
    </row>
    <row r="23" spans="1:6" ht="25.05" customHeight="1">
      <c r="A23" s="6">
        <v>1</v>
      </c>
      <c r="B23" s="6" t="s">
        <v>82</v>
      </c>
      <c r="C23" s="6" t="s">
        <v>83</v>
      </c>
      <c r="D23" s="5">
        <v>0.9</v>
      </c>
      <c r="E23" s="6" t="s">
        <v>54</v>
      </c>
      <c r="F23" s="6" t="s">
        <v>55</v>
      </c>
    </row>
    <row r="24" spans="1:6" ht="25.05" customHeight="1">
      <c r="A24" s="6">
        <v>1</v>
      </c>
      <c r="B24" s="6" t="s">
        <v>84</v>
      </c>
      <c r="C24" s="6" t="s">
        <v>85</v>
      </c>
      <c r="D24" s="5">
        <v>0.16</v>
      </c>
      <c r="E24" s="6" t="s">
        <v>69</v>
      </c>
      <c r="F24" s="6" t="s">
        <v>55</v>
      </c>
    </row>
    <row r="25" spans="1:6" ht="25.05" customHeight="1">
      <c r="A25" s="6">
        <v>1</v>
      </c>
      <c r="B25" s="6" t="s">
        <v>86</v>
      </c>
      <c r="C25" s="6" t="s">
        <v>87</v>
      </c>
      <c r="D25" s="5">
        <v>0</v>
      </c>
      <c r="E25" s="6" t="s">
        <v>54</v>
      </c>
      <c r="F25" s="6" t="s">
        <v>55</v>
      </c>
    </row>
    <row r="26" spans="1:6" ht="25.05" customHeight="1">
      <c r="A26" s="6">
        <v>1</v>
      </c>
      <c r="B26" s="6" t="s">
        <v>88</v>
      </c>
      <c r="C26" s="6" t="s">
        <v>89</v>
      </c>
      <c r="D26" s="5">
        <v>0</v>
      </c>
      <c r="E26" s="6" t="s">
        <v>69</v>
      </c>
      <c r="F26" s="6" t="s">
        <v>55</v>
      </c>
    </row>
    <row r="27" spans="1:6" ht="25.05" customHeight="1">
      <c r="A27" s="6">
        <v>1</v>
      </c>
      <c r="B27" s="6" t="s">
        <v>90</v>
      </c>
      <c r="C27" s="6" t="s">
        <v>91</v>
      </c>
      <c r="D27" s="5">
        <v>45</v>
      </c>
      <c r="E27" s="6" t="s">
        <v>64</v>
      </c>
      <c r="F27" s="6" t="s">
        <v>55</v>
      </c>
    </row>
    <row r="28" spans="1:6" ht="25.05" customHeight="1">
      <c r="A28" s="6">
        <v>1</v>
      </c>
      <c r="B28" s="6" t="s">
        <v>92</v>
      </c>
      <c r="C28" s="6" t="s">
        <v>93</v>
      </c>
      <c r="D28" s="5">
        <v>60</v>
      </c>
      <c r="E28" s="6" t="s">
        <v>64</v>
      </c>
      <c r="F28" s="6" t="s">
        <v>55</v>
      </c>
    </row>
    <row r="29" spans="1:6" ht="25.05" customHeight="1">
      <c r="A29" s="6">
        <v>1</v>
      </c>
      <c r="B29" s="6" t="s">
        <v>94</v>
      </c>
      <c r="C29" s="6" t="s">
        <v>95</v>
      </c>
      <c r="D29" s="5">
        <v>0.42</v>
      </c>
      <c r="E29" s="6" t="s">
        <v>69</v>
      </c>
      <c r="F29" s="6" t="s">
        <v>55</v>
      </c>
    </row>
    <row r="30" spans="1:6" ht="25.05" customHeight="1">
      <c r="A30" s="6">
        <v>1</v>
      </c>
      <c r="B30" s="6" t="s">
        <v>96</v>
      </c>
      <c r="C30" s="6" t="s">
        <v>97</v>
      </c>
      <c r="D30" s="5">
        <v>1</v>
      </c>
      <c r="E30" s="6" t="s">
        <v>54</v>
      </c>
      <c r="F30" s="6" t="s">
        <v>55</v>
      </c>
    </row>
    <row r="31" spans="1:6" ht="25.05" customHeight="1">
      <c r="A31" s="6">
        <v>1</v>
      </c>
      <c r="B31" s="6" t="s">
        <v>98</v>
      </c>
      <c r="C31" s="6" t="s">
        <v>99</v>
      </c>
      <c r="D31" s="5">
        <v>1</v>
      </c>
      <c r="E31" s="6" t="s">
        <v>54</v>
      </c>
      <c r="F31" s="6" t="s">
        <v>55</v>
      </c>
    </row>
    <row r="32" spans="1:6" ht="25.05" customHeight="1">
      <c r="A32" s="6">
        <v>1</v>
      </c>
      <c r="B32" s="6" t="s">
        <v>100</v>
      </c>
      <c r="C32" s="6" t="s">
        <v>101</v>
      </c>
      <c r="D32" s="5">
        <v>0</v>
      </c>
      <c r="E32" s="6" t="s">
        <v>54</v>
      </c>
      <c r="F32" s="6" t="s">
        <v>55</v>
      </c>
    </row>
    <row r="33" spans="1:6" ht="25.05" customHeight="1">
      <c r="A33" s="6">
        <v>1</v>
      </c>
      <c r="B33" s="6" t="s">
        <v>102</v>
      </c>
      <c r="C33" s="6" t="s">
        <v>103</v>
      </c>
      <c r="D33" s="5">
        <v>0</v>
      </c>
      <c r="E33" s="6" t="s">
        <v>54</v>
      </c>
      <c r="F33" s="6" t="s">
        <v>104</v>
      </c>
    </row>
    <row r="34" spans="1:6" ht="25.05" customHeight="1">
      <c r="A34" s="6">
        <v>1</v>
      </c>
      <c r="B34" s="6" t="s">
        <v>105</v>
      </c>
      <c r="C34" s="6" t="s">
        <v>106</v>
      </c>
      <c r="D34" s="5">
        <v>1</v>
      </c>
      <c r="E34" s="6" t="s">
        <v>54</v>
      </c>
      <c r="F34" s="6" t="s">
        <v>55</v>
      </c>
    </row>
    <row r="35" spans="1:6" ht="25.05" customHeight="1">
      <c r="A35" s="6">
        <v>2</v>
      </c>
      <c r="B35" s="6" t="s">
        <v>52</v>
      </c>
      <c r="C35" s="6" t="s">
        <v>53</v>
      </c>
      <c r="D35" s="5">
        <v>2407</v>
      </c>
      <c r="E35" s="6" t="s">
        <v>54</v>
      </c>
      <c r="F35" s="6" t="s">
        <v>55</v>
      </c>
    </row>
    <row r="36" spans="1:6" ht="25.05" customHeight="1">
      <c r="A36" s="6">
        <v>2</v>
      </c>
      <c r="B36" s="6" t="s">
        <v>56</v>
      </c>
      <c r="C36" s="6" t="s">
        <v>57</v>
      </c>
      <c r="D36" s="5" t="s">
        <v>58</v>
      </c>
      <c r="E36" s="6" t="s">
        <v>54</v>
      </c>
      <c r="F36" s="6" t="s">
        <v>55</v>
      </c>
    </row>
    <row r="37" spans="1:6" ht="25.05" customHeight="1">
      <c r="A37" s="6">
        <v>2</v>
      </c>
      <c r="B37" s="6" t="s">
        <v>59</v>
      </c>
      <c r="C37" s="6" t="s">
        <v>38</v>
      </c>
      <c r="D37" s="5"/>
      <c r="E37" s="6" t="s">
        <v>54</v>
      </c>
      <c r="F37" s="6" t="s">
        <v>60</v>
      </c>
    </row>
    <row r="38" spans="1:6" ht="25.05" customHeight="1">
      <c r="A38" s="6">
        <v>2</v>
      </c>
      <c r="B38" s="6" t="s">
        <v>61</v>
      </c>
      <c r="C38" s="6" t="s">
        <v>40</v>
      </c>
      <c r="D38" s="5"/>
      <c r="E38" s="6" t="s">
        <v>54</v>
      </c>
      <c r="F38" s="6" t="s">
        <v>60</v>
      </c>
    </row>
    <row r="39" spans="1:6" ht="25.05" customHeight="1">
      <c r="A39" s="6">
        <v>2</v>
      </c>
      <c r="B39" s="6" t="s">
        <v>62</v>
      </c>
      <c r="C39" s="6" t="s">
        <v>63</v>
      </c>
      <c r="D39" s="5">
        <v>720</v>
      </c>
      <c r="E39" s="6" t="s">
        <v>64</v>
      </c>
      <c r="F39" s="6" t="s">
        <v>55</v>
      </c>
    </row>
    <row r="40" spans="1:6" ht="25.05" customHeight="1">
      <c r="A40" s="6">
        <v>2</v>
      </c>
      <c r="B40" s="6" t="s">
        <v>65</v>
      </c>
      <c r="C40" s="6" t="s">
        <v>10</v>
      </c>
      <c r="D40" s="5"/>
      <c r="E40" s="6" t="s">
        <v>54</v>
      </c>
      <c r="F40" s="6" t="s">
        <v>60</v>
      </c>
    </row>
    <row r="41" spans="1:6" ht="25.05" customHeight="1">
      <c r="A41" s="6">
        <v>2</v>
      </c>
      <c r="B41" s="6" t="s">
        <v>66</v>
      </c>
      <c r="C41" s="6" t="s">
        <v>11</v>
      </c>
      <c r="D41" s="5"/>
      <c r="E41" s="6" t="s">
        <v>54</v>
      </c>
      <c r="F41" s="6" t="s">
        <v>60</v>
      </c>
    </row>
    <row r="42" spans="1:6" ht="25.05" customHeight="1">
      <c r="A42" s="6">
        <v>2</v>
      </c>
      <c r="B42" s="6" t="s">
        <v>67</v>
      </c>
      <c r="C42" s="6" t="s">
        <v>12</v>
      </c>
      <c r="D42" s="5"/>
      <c r="E42" s="6" t="s">
        <v>54</v>
      </c>
      <c r="F42" s="6" t="s">
        <v>60</v>
      </c>
    </row>
    <row r="43" spans="1:6" ht="25.05" customHeight="1">
      <c r="A43" s="6">
        <v>2</v>
      </c>
      <c r="B43" s="6" t="s">
        <v>68</v>
      </c>
      <c r="C43" s="6" t="s">
        <v>36</v>
      </c>
      <c r="D43" s="5"/>
      <c r="E43" s="6" t="s">
        <v>54</v>
      </c>
      <c r="F43" s="6" t="s">
        <v>60</v>
      </c>
    </row>
    <row r="44" spans="1:6" ht="25.05" customHeight="1">
      <c r="A44" s="6">
        <v>2</v>
      </c>
      <c r="B44" s="6" t="s">
        <v>41</v>
      </c>
      <c r="C44" s="6" t="s">
        <v>42</v>
      </c>
      <c r="D44" s="5"/>
      <c r="E44" s="6" t="s">
        <v>69</v>
      </c>
      <c r="F44" s="6" t="s">
        <v>60</v>
      </c>
    </row>
    <row r="45" spans="1:6" ht="25.05" customHeight="1">
      <c r="A45" s="6">
        <v>2</v>
      </c>
      <c r="B45" s="6" t="s">
        <v>45</v>
      </c>
      <c r="C45" s="6" t="s">
        <v>46</v>
      </c>
      <c r="D45" s="5"/>
      <c r="E45" s="6" t="s">
        <v>69</v>
      </c>
      <c r="F45" s="6" t="s">
        <v>60</v>
      </c>
    </row>
    <row r="46" spans="1:6" ht="25.05" customHeight="1">
      <c r="A46" s="6">
        <v>2</v>
      </c>
      <c r="B46" s="6" t="s">
        <v>70</v>
      </c>
      <c r="C46" s="6" t="s">
        <v>71</v>
      </c>
      <c r="D46" s="5"/>
      <c r="E46" s="6" t="s">
        <v>54</v>
      </c>
      <c r="F46" s="6" t="s">
        <v>60</v>
      </c>
    </row>
    <row r="47" spans="1:6" ht="25.05" customHeight="1">
      <c r="A47" s="6">
        <v>2</v>
      </c>
      <c r="B47" s="6" t="s">
        <v>72</v>
      </c>
      <c r="C47" s="6" t="s">
        <v>73</v>
      </c>
      <c r="D47" s="5"/>
      <c r="E47" s="6" t="s">
        <v>54</v>
      </c>
      <c r="F47" s="6" t="s">
        <v>60</v>
      </c>
    </row>
    <row r="48" spans="1:6" ht="25.05" customHeight="1">
      <c r="A48" s="6">
        <v>2</v>
      </c>
      <c r="B48" s="6" t="s">
        <v>74</v>
      </c>
      <c r="C48" s="6" t="s">
        <v>75</v>
      </c>
      <c r="D48" s="5">
        <v>5</v>
      </c>
      <c r="E48" s="6" t="s">
        <v>54</v>
      </c>
      <c r="F48" s="6" t="s">
        <v>55</v>
      </c>
    </row>
    <row r="49" spans="1:6" ht="25.05" customHeight="1">
      <c r="A49" s="6">
        <v>2</v>
      </c>
      <c r="B49" s="6" t="s">
        <v>76</v>
      </c>
      <c r="C49" s="6" t="s">
        <v>77</v>
      </c>
      <c r="D49" s="5">
        <v>4</v>
      </c>
      <c r="E49" s="6" t="s">
        <v>54</v>
      </c>
      <c r="F49" s="6" t="s">
        <v>55</v>
      </c>
    </row>
    <row r="50" spans="1:6" ht="25.05" customHeight="1">
      <c r="A50" s="6">
        <v>2</v>
      </c>
      <c r="B50" s="6" t="s">
        <v>78</v>
      </c>
      <c r="C50" s="6" t="s">
        <v>79</v>
      </c>
      <c r="D50" s="5">
        <v>10</v>
      </c>
      <c r="E50" s="6" t="s">
        <v>54</v>
      </c>
      <c r="F50" s="6" t="s">
        <v>55</v>
      </c>
    </row>
    <row r="51" spans="1:6" ht="25.05" customHeight="1">
      <c r="A51" s="6">
        <v>2</v>
      </c>
      <c r="B51" s="6" t="s">
        <v>80</v>
      </c>
      <c r="C51" s="6" t="s">
        <v>81</v>
      </c>
      <c r="D51" s="5">
        <v>2.5000000000000001E-2</v>
      </c>
      <c r="E51" s="6" t="s">
        <v>69</v>
      </c>
      <c r="F51" s="6" t="s">
        <v>55</v>
      </c>
    </row>
    <row r="52" spans="1:6" ht="25.05" customHeight="1">
      <c r="A52" s="6">
        <v>2</v>
      </c>
      <c r="B52" s="6" t="s">
        <v>82</v>
      </c>
      <c r="C52" s="6" t="s">
        <v>83</v>
      </c>
      <c r="D52" s="5">
        <v>0.9</v>
      </c>
      <c r="E52" s="6" t="s">
        <v>54</v>
      </c>
      <c r="F52" s="6" t="s">
        <v>55</v>
      </c>
    </row>
    <row r="53" spans="1:6" ht="25.05" customHeight="1">
      <c r="A53" s="6">
        <v>2</v>
      </c>
      <c r="B53" s="6" t="s">
        <v>84</v>
      </c>
      <c r="C53" s="6" t="s">
        <v>85</v>
      </c>
      <c r="D53" s="5">
        <v>0.16</v>
      </c>
      <c r="E53" s="6" t="s">
        <v>69</v>
      </c>
      <c r="F53" s="6" t="s">
        <v>55</v>
      </c>
    </row>
    <row r="54" spans="1:6" ht="25.05" customHeight="1">
      <c r="A54" s="6">
        <v>2</v>
      </c>
      <c r="B54" s="6" t="s">
        <v>86</v>
      </c>
      <c r="C54" s="6" t="s">
        <v>87</v>
      </c>
      <c r="D54" s="5">
        <v>60</v>
      </c>
      <c r="E54" s="6" t="s">
        <v>54</v>
      </c>
      <c r="F54" s="6" t="s">
        <v>55</v>
      </c>
    </row>
    <row r="55" spans="1:6" ht="25.05" customHeight="1">
      <c r="A55" s="6">
        <v>2</v>
      </c>
      <c r="B55" s="6" t="s">
        <v>88</v>
      </c>
      <c r="C55" s="6" t="s">
        <v>89</v>
      </c>
      <c r="D55" s="5">
        <v>0.12</v>
      </c>
      <c r="E55" s="6" t="s">
        <v>69</v>
      </c>
      <c r="F55" s="6" t="s">
        <v>55</v>
      </c>
    </row>
    <row r="56" spans="1:6" ht="25.05" customHeight="1">
      <c r="A56" s="6">
        <v>2</v>
      </c>
      <c r="B56" s="6" t="s">
        <v>90</v>
      </c>
      <c r="C56" s="6" t="s">
        <v>91</v>
      </c>
      <c r="D56" s="5">
        <v>75</v>
      </c>
      <c r="E56" s="6" t="s">
        <v>64</v>
      </c>
      <c r="F56" s="6" t="s">
        <v>55</v>
      </c>
    </row>
    <row r="57" spans="1:6" ht="25.05" customHeight="1">
      <c r="A57" s="6">
        <v>2</v>
      </c>
      <c r="B57" s="6" t="s">
        <v>92</v>
      </c>
      <c r="C57" s="6" t="s">
        <v>93</v>
      </c>
      <c r="D57" s="5">
        <v>60</v>
      </c>
      <c r="E57" s="6" t="s">
        <v>64</v>
      </c>
      <c r="F57" s="6" t="s">
        <v>55</v>
      </c>
    </row>
    <row r="58" spans="1:6" ht="25.05" customHeight="1">
      <c r="A58" s="6">
        <v>2</v>
      </c>
      <c r="B58" s="6" t="s">
        <v>94</v>
      </c>
      <c r="C58" s="6" t="s">
        <v>95</v>
      </c>
      <c r="D58" s="5">
        <v>0.42</v>
      </c>
      <c r="E58" s="6" t="s">
        <v>69</v>
      </c>
      <c r="F58" s="6" t="s">
        <v>55</v>
      </c>
    </row>
    <row r="59" spans="1:6" ht="25.05" customHeight="1">
      <c r="A59" s="6">
        <v>2</v>
      </c>
      <c r="B59" s="6" t="s">
        <v>96</v>
      </c>
      <c r="C59" s="6" t="s">
        <v>97</v>
      </c>
      <c r="D59" s="5">
        <v>1</v>
      </c>
      <c r="E59" s="6" t="s">
        <v>54</v>
      </c>
      <c r="F59" s="6" t="s">
        <v>55</v>
      </c>
    </row>
    <row r="60" spans="1:6" ht="25.05" customHeight="1">
      <c r="A60" s="6">
        <v>2</v>
      </c>
      <c r="B60" s="6" t="s">
        <v>98</v>
      </c>
      <c r="C60" s="6" t="s">
        <v>99</v>
      </c>
      <c r="D60" s="5">
        <v>1</v>
      </c>
      <c r="E60" s="6" t="s">
        <v>54</v>
      </c>
      <c r="F60" s="6" t="s">
        <v>55</v>
      </c>
    </row>
    <row r="61" spans="1:6" ht="25.05" customHeight="1">
      <c r="A61" s="6">
        <v>2</v>
      </c>
      <c r="B61" s="6" t="s">
        <v>100</v>
      </c>
      <c r="C61" s="6" t="s">
        <v>101</v>
      </c>
      <c r="D61" s="5">
        <v>1</v>
      </c>
      <c r="E61" s="6" t="s">
        <v>54</v>
      </c>
      <c r="F61" s="6" t="s">
        <v>55</v>
      </c>
    </row>
    <row r="62" spans="1:6" ht="25.05" customHeight="1">
      <c r="A62" s="6">
        <v>2</v>
      </c>
      <c r="B62" s="6" t="s">
        <v>102</v>
      </c>
      <c r="C62" s="6" t="s">
        <v>103</v>
      </c>
      <c r="D62" s="5">
        <v>0</v>
      </c>
      <c r="E62" s="6" t="s">
        <v>54</v>
      </c>
      <c r="F62" s="6" t="s">
        <v>104</v>
      </c>
    </row>
    <row r="63" spans="1:6" ht="25.05" customHeight="1">
      <c r="A63" s="6">
        <v>2</v>
      </c>
      <c r="B63" s="6" t="s">
        <v>105</v>
      </c>
      <c r="C63" s="6" t="s">
        <v>106</v>
      </c>
      <c r="D63" s="5">
        <v>1</v>
      </c>
      <c r="E63" s="6" t="s">
        <v>54</v>
      </c>
      <c r="F63" s="6" t="s">
        <v>55</v>
      </c>
    </row>
    <row r="64" spans="1:6" ht="25.05" customHeight="1">
      <c r="A64" s="6">
        <v>3</v>
      </c>
      <c r="B64" s="6" t="s">
        <v>52</v>
      </c>
      <c r="C64" s="6" t="s">
        <v>53</v>
      </c>
      <c r="D64" s="5">
        <v>2407</v>
      </c>
      <c r="E64" s="6" t="s">
        <v>54</v>
      </c>
      <c r="F64" s="6" t="s">
        <v>55</v>
      </c>
    </row>
    <row r="65" spans="1:6" ht="25.05" customHeight="1">
      <c r="A65" s="6">
        <v>3</v>
      </c>
      <c r="B65" s="6" t="s">
        <v>56</v>
      </c>
      <c r="C65" s="6" t="s">
        <v>57</v>
      </c>
      <c r="D65" s="5" t="s">
        <v>58</v>
      </c>
      <c r="E65" s="6" t="s">
        <v>54</v>
      </c>
      <c r="F65" s="6" t="s">
        <v>55</v>
      </c>
    </row>
    <row r="66" spans="1:6" ht="25.05" customHeight="1">
      <c r="A66" s="6">
        <v>3</v>
      </c>
      <c r="B66" s="6" t="s">
        <v>59</v>
      </c>
      <c r="C66" s="6" t="s">
        <v>38</v>
      </c>
      <c r="D66" s="5"/>
      <c r="E66" s="6" t="s">
        <v>54</v>
      </c>
      <c r="F66" s="6" t="s">
        <v>60</v>
      </c>
    </row>
    <row r="67" spans="1:6" ht="25.05" customHeight="1">
      <c r="A67" s="6">
        <v>3</v>
      </c>
      <c r="B67" s="6" t="s">
        <v>61</v>
      </c>
      <c r="C67" s="6" t="s">
        <v>40</v>
      </c>
      <c r="D67" s="5"/>
      <c r="E67" s="6" t="s">
        <v>54</v>
      </c>
      <c r="F67" s="6" t="s">
        <v>60</v>
      </c>
    </row>
    <row r="68" spans="1:6" ht="25.05" customHeight="1">
      <c r="A68" s="6">
        <v>3</v>
      </c>
      <c r="B68" s="6" t="s">
        <v>62</v>
      </c>
      <c r="C68" s="6" t="s">
        <v>63</v>
      </c>
      <c r="D68" s="5">
        <v>900</v>
      </c>
      <c r="E68" s="6" t="s">
        <v>64</v>
      </c>
      <c r="F68" s="6" t="s">
        <v>55</v>
      </c>
    </row>
    <row r="69" spans="1:6" ht="25.05" customHeight="1">
      <c r="A69" s="6">
        <v>3</v>
      </c>
      <c r="B69" s="6" t="s">
        <v>65</v>
      </c>
      <c r="C69" s="6" t="s">
        <v>10</v>
      </c>
      <c r="D69" s="5"/>
      <c r="E69" s="6" t="s">
        <v>54</v>
      </c>
      <c r="F69" s="6" t="s">
        <v>60</v>
      </c>
    </row>
    <row r="70" spans="1:6" ht="25.05" customHeight="1">
      <c r="A70" s="6">
        <v>3</v>
      </c>
      <c r="B70" s="6" t="s">
        <v>66</v>
      </c>
      <c r="C70" s="6" t="s">
        <v>11</v>
      </c>
      <c r="D70" s="5"/>
      <c r="E70" s="6" t="s">
        <v>54</v>
      </c>
      <c r="F70" s="6" t="s">
        <v>60</v>
      </c>
    </row>
    <row r="71" spans="1:6" ht="25.05" customHeight="1">
      <c r="A71" s="6">
        <v>3</v>
      </c>
      <c r="B71" s="6" t="s">
        <v>67</v>
      </c>
      <c r="C71" s="6" t="s">
        <v>12</v>
      </c>
      <c r="D71" s="5"/>
      <c r="E71" s="6" t="s">
        <v>54</v>
      </c>
      <c r="F71" s="6" t="s">
        <v>60</v>
      </c>
    </row>
    <row r="72" spans="1:6" ht="25.05" customHeight="1">
      <c r="A72" s="6">
        <v>3</v>
      </c>
      <c r="B72" s="6" t="s">
        <v>68</v>
      </c>
      <c r="C72" s="6" t="s">
        <v>36</v>
      </c>
      <c r="D72" s="5"/>
      <c r="E72" s="6" t="s">
        <v>54</v>
      </c>
      <c r="F72" s="6" t="s">
        <v>60</v>
      </c>
    </row>
    <row r="73" spans="1:6" ht="25.05" customHeight="1">
      <c r="A73" s="6">
        <v>3</v>
      </c>
      <c r="B73" s="6" t="s">
        <v>41</v>
      </c>
      <c r="C73" s="6" t="s">
        <v>42</v>
      </c>
      <c r="D73" s="5"/>
      <c r="E73" s="6" t="s">
        <v>69</v>
      </c>
      <c r="F73" s="6" t="s">
        <v>60</v>
      </c>
    </row>
    <row r="74" spans="1:6" ht="25.05" customHeight="1">
      <c r="A74" s="6">
        <v>3</v>
      </c>
      <c r="B74" s="6" t="s">
        <v>45</v>
      </c>
      <c r="C74" s="6" t="s">
        <v>46</v>
      </c>
      <c r="D74" s="5"/>
      <c r="E74" s="6" t="s">
        <v>69</v>
      </c>
      <c r="F74" s="6" t="s">
        <v>60</v>
      </c>
    </row>
    <row r="75" spans="1:6" ht="25.05" customHeight="1">
      <c r="A75" s="6">
        <v>3</v>
      </c>
      <c r="B75" s="6" t="s">
        <v>70</v>
      </c>
      <c r="C75" s="6" t="s">
        <v>71</v>
      </c>
      <c r="D75" s="5"/>
      <c r="E75" s="6" t="s">
        <v>54</v>
      </c>
      <c r="F75" s="6" t="s">
        <v>60</v>
      </c>
    </row>
    <row r="76" spans="1:6" ht="25.05" customHeight="1">
      <c r="A76" s="6">
        <v>3</v>
      </c>
      <c r="B76" s="6" t="s">
        <v>72</v>
      </c>
      <c r="C76" s="6" t="s">
        <v>73</v>
      </c>
      <c r="D76" s="5"/>
      <c r="E76" s="6" t="s">
        <v>54</v>
      </c>
      <c r="F76" s="6" t="s">
        <v>60</v>
      </c>
    </row>
    <row r="77" spans="1:6" ht="25.05" customHeight="1">
      <c r="A77" s="6">
        <v>3</v>
      </c>
      <c r="B77" s="6" t="s">
        <v>74</v>
      </c>
      <c r="C77" s="6" t="s">
        <v>75</v>
      </c>
      <c r="D77" s="5">
        <v>5</v>
      </c>
      <c r="E77" s="6" t="s">
        <v>54</v>
      </c>
      <c r="F77" s="6" t="s">
        <v>55</v>
      </c>
    </row>
    <row r="78" spans="1:6" ht="25.05" customHeight="1">
      <c r="A78" s="6">
        <v>3</v>
      </c>
      <c r="B78" s="6" t="s">
        <v>76</v>
      </c>
      <c r="C78" s="6" t="s">
        <v>77</v>
      </c>
      <c r="D78" s="5">
        <v>6</v>
      </c>
      <c r="E78" s="6" t="s">
        <v>54</v>
      </c>
      <c r="F78" s="6" t="s">
        <v>55</v>
      </c>
    </row>
    <row r="79" spans="1:6" ht="25.05" customHeight="1">
      <c r="A79" s="6">
        <v>3</v>
      </c>
      <c r="B79" s="6" t="s">
        <v>78</v>
      </c>
      <c r="C79" s="6" t="s">
        <v>79</v>
      </c>
      <c r="D79" s="5">
        <v>22</v>
      </c>
      <c r="E79" s="6" t="s">
        <v>54</v>
      </c>
      <c r="F79" s="6" t="s">
        <v>55</v>
      </c>
    </row>
    <row r="80" spans="1:6" ht="25.05" customHeight="1">
      <c r="A80" s="6">
        <v>3</v>
      </c>
      <c r="B80" s="6" t="s">
        <v>80</v>
      </c>
      <c r="C80" s="6" t="s">
        <v>81</v>
      </c>
      <c r="D80" s="5">
        <v>3.5000000000000003E-2</v>
      </c>
      <c r="E80" s="6" t="s">
        <v>69</v>
      </c>
      <c r="F80" s="6" t="s">
        <v>55</v>
      </c>
    </row>
    <row r="81" spans="1:6" ht="25.05" customHeight="1">
      <c r="A81" s="6">
        <v>3</v>
      </c>
      <c r="B81" s="6" t="s">
        <v>82</v>
      </c>
      <c r="C81" s="6" t="s">
        <v>83</v>
      </c>
      <c r="D81" s="5">
        <v>0.9</v>
      </c>
      <c r="E81" s="6" t="s">
        <v>54</v>
      </c>
      <c r="F81" s="6" t="s">
        <v>55</v>
      </c>
    </row>
    <row r="82" spans="1:6" ht="25.05" customHeight="1">
      <c r="A82" s="6">
        <v>3</v>
      </c>
      <c r="B82" s="6" t="s">
        <v>84</v>
      </c>
      <c r="C82" s="6" t="s">
        <v>85</v>
      </c>
      <c r="D82" s="5">
        <v>0.16</v>
      </c>
      <c r="E82" s="6" t="s">
        <v>69</v>
      </c>
      <c r="F82" s="6" t="s">
        <v>55</v>
      </c>
    </row>
    <row r="83" spans="1:6" ht="25.05" customHeight="1">
      <c r="A83" s="6">
        <v>3</v>
      </c>
      <c r="B83" s="6" t="s">
        <v>86</v>
      </c>
      <c r="C83" s="6" t="s">
        <v>87</v>
      </c>
      <c r="D83" s="5">
        <v>120</v>
      </c>
      <c r="E83" s="6" t="s">
        <v>54</v>
      </c>
      <c r="F83" s="6" t="s">
        <v>55</v>
      </c>
    </row>
    <row r="84" spans="1:6" ht="25.05" customHeight="1">
      <c r="A84" s="6">
        <v>3</v>
      </c>
      <c r="B84" s="6" t="s">
        <v>88</v>
      </c>
      <c r="C84" s="6" t="s">
        <v>89</v>
      </c>
      <c r="D84" s="5">
        <v>0.25</v>
      </c>
      <c r="E84" s="6" t="s">
        <v>69</v>
      </c>
      <c r="F84" s="6" t="s">
        <v>55</v>
      </c>
    </row>
    <row r="85" spans="1:6" ht="25.05" customHeight="1">
      <c r="A85" s="6">
        <v>3</v>
      </c>
      <c r="B85" s="6" t="s">
        <v>90</v>
      </c>
      <c r="C85" s="6" t="s">
        <v>91</v>
      </c>
      <c r="D85" s="5">
        <v>60</v>
      </c>
      <c r="E85" s="6" t="s">
        <v>64</v>
      </c>
      <c r="F85" s="6" t="s">
        <v>55</v>
      </c>
    </row>
    <row r="86" spans="1:6" ht="25.05" customHeight="1">
      <c r="A86" s="6">
        <v>3</v>
      </c>
      <c r="B86" s="6" t="s">
        <v>92</v>
      </c>
      <c r="C86" s="6" t="s">
        <v>93</v>
      </c>
      <c r="D86" s="5">
        <v>60</v>
      </c>
      <c r="E86" s="6" t="s">
        <v>64</v>
      </c>
      <c r="F86" s="6" t="s">
        <v>55</v>
      </c>
    </row>
    <row r="87" spans="1:6" ht="25.05" customHeight="1">
      <c r="A87" s="6">
        <v>3</v>
      </c>
      <c r="B87" s="6" t="s">
        <v>94</v>
      </c>
      <c r="C87" s="6" t="s">
        <v>95</v>
      </c>
      <c r="D87" s="5">
        <v>0.42</v>
      </c>
      <c r="E87" s="6" t="s">
        <v>69</v>
      </c>
      <c r="F87" s="6" t="s">
        <v>55</v>
      </c>
    </row>
    <row r="88" spans="1:6" ht="25.05" customHeight="1">
      <c r="A88" s="6">
        <v>3</v>
      </c>
      <c r="B88" s="6" t="s">
        <v>96</v>
      </c>
      <c r="C88" s="6" t="s">
        <v>97</v>
      </c>
      <c r="D88" s="5">
        <v>1</v>
      </c>
      <c r="E88" s="6" t="s">
        <v>54</v>
      </c>
      <c r="F88" s="6" t="s">
        <v>55</v>
      </c>
    </row>
    <row r="89" spans="1:6" ht="25.05" customHeight="1">
      <c r="A89" s="6">
        <v>3</v>
      </c>
      <c r="B89" s="6" t="s">
        <v>98</v>
      </c>
      <c r="C89" s="6" t="s">
        <v>99</v>
      </c>
      <c r="D89" s="5">
        <v>1</v>
      </c>
      <c r="E89" s="6" t="s">
        <v>54</v>
      </c>
      <c r="F89" s="6" t="s">
        <v>55</v>
      </c>
    </row>
    <row r="90" spans="1:6" ht="25.05" customHeight="1">
      <c r="A90" s="6">
        <v>3</v>
      </c>
      <c r="B90" s="6" t="s">
        <v>100</v>
      </c>
      <c r="C90" s="6" t="s">
        <v>101</v>
      </c>
      <c r="D90" s="5">
        <v>1</v>
      </c>
      <c r="E90" s="6" t="s">
        <v>54</v>
      </c>
      <c r="F90" s="6" t="s">
        <v>55</v>
      </c>
    </row>
    <row r="91" spans="1:6" ht="25.05" customHeight="1">
      <c r="A91" s="6">
        <v>3</v>
      </c>
      <c r="B91" s="6" t="s">
        <v>102</v>
      </c>
      <c r="C91" s="6" t="s">
        <v>103</v>
      </c>
      <c r="D91" s="5">
        <v>0</v>
      </c>
      <c r="E91" s="6" t="s">
        <v>54</v>
      </c>
      <c r="F91" s="6" t="s">
        <v>104</v>
      </c>
    </row>
    <row r="92" spans="1:6" ht="25.05" customHeight="1">
      <c r="A92" s="6">
        <v>3</v>
      </c>
      <c r="B92" s="6" t="s">
        <v>105</v>
      </c>
      <c r="C92" s="6" t="s">
        <v>106</v>
      </c>
      <c r="D92" s="5">
        <v>1</v>
      </c>
      <c r="E92" s="6" t="s">
        <v>54</v>
      </c>
      <c r="F92" s="6" t="s">
        <v>55</v>
      </c>
    </row>
    <row r="93" spans="1:6" ht="25.05" customHeight="1">
      <c r="A93" s="6">
        <v>4</v>
      </c>
      <c r="B93" s="6" t="s">
        <v>52</v>
      </c>
      <c r="C93" s="6" t="s">
        <v>53</v>
      </c>
      <c r="D93" s="5">
        <v>2407</v>
      </c>
      <c r="E93" s="6" t="s">
        <v>54</v>
      </c>
      <c r="F93" s="6" t="s">
        <v>55</v>
      </c>
    </row>
    <row r="94" spans="1:6" ht="25.05" customHeight="1">
      <c r="A94" s="6">
        <v>4</v>
      </c>
      <c r="B94" s="6" t="s">
        <v>56</v>
      </c>
      <c r="C94" s="6" t="s">
        <v>57</v>
      </c>
      <c r="D94" s="5" t="s">
        <v>58</v>
      </c>
      <c r="E94" s="6" t="s">
        <v>54</v>
      </c>
      <c r="F94" s="6" t="s">
        <v>55</v>
      </c>
    </row>
    <row r="95" spans="1:6" ht="25.05" customHeight="1">
      <c r="A95" s="6">
        <v>4</v>
      </c>
      <c r="B95" s="6" t="s">
        <v>59</v>
      </c>
      <c r="C95" s="6" t="s">
        <v>38</v>
      </c>
      <c r="D95" s="5"/>
      <c r="E95" s="6" t="s">
        <v>54</v>
      </c>
      <c r="F95" s="6" t="s">
        <v>60</v>
      </c>
    </row>
    <row r="96" spans="1:6" ht="25.05" customHeight="1">
      <c r="A96" s="6">
        <v>4</v>
      </c>
      <c r="B96" s="6" t="s">
        <v>61</v>
      </c>
      <c r="C96" s="6" t="s">
        <v>40</v>
      </c>
      <c r="D96" s="5"/>
      <c r="E96" s="6" t="s">
        <v>54</v>
      </c>
      <c r="F96" s="6" t="s">
        <v>60</v>
      </c>
    </row>
    <row r="97" spans="1:6" ht="25.05" customHeight="1">
      <c r="A97" s="6">
        <v>4</v>
      </c>
      <c r="B97" s="6" t="s">
        <v>62</v>
      </c>
      <c r="C97" s="6" t="s">
        <v>63</v>
      </c>
      <c r="D97" s="5">
        <v>960</v>
      </c>
      <c r="E97" s="6" t="s">
        <v>64</v>
      </c>
      <c r="F97" s="6" t="s">
        <v>55</v>
      </c>
    </row>
    <row r="98" spans="1:6" ht="25.05" customHeight="1">
      <c r="A98" s="6">
        <v>4</v>
      </c>
      <c r="B98" s="6" t="s">
        <v>65</v>
      </c>
      <c r="C98" s="6" t="s">
        <v>10</v>
      </c>
      <c r="D98" s="5"/>
      <c r="E98" s="6" t="s">
        <v>54</v>
      </c>
      <c r="F98" s="6" t="s">
        <v>60</v>
      </c>
    </row>
    <row r="99" spans="1:6" ht="25.05" customHeight="1">
      <c r="A99" s="6">
        <v>4</v>
      </c>
      <c r="B99" s="6" t="s">
        <v>66</v>
      </c>
      <c r="C99" s="6" t="s">
        <v>11</v>
      </c>
      <c r="D99" s="5"/>
      <c r="E99" s="6" t="s">
        <v>54</v>
      </c>
      <c r="F99" s="6" t="s">
        <v>60</v>
      </c>
    </row>
    <row r="100" spans="1:6" ht="25.05" customHeight="1">
      <c r="A100" s="6">
        <v>4</v>
      </c>
      <c r="B100" s="6" t="s">
        <v>67</v>
      </c>
      <c r="C100" s="6" t="s">
        <v>12</v>
      </c>
      <c r="D100" s="5"/>
      <c r="E100" s="6" t="s">
        <v>54</v>
      </c>
      <c r="F100" s="6" t="s">
        <v>60</v>
      </c>
    </row>
    <row r="101" spans="1:6" ht="25.05" customHeight="1">
      <c r="A101" s="6">
        <v>4</v>
      </c>
      <c r="B101" s="6" t="s">
        <v>68</v>
      </c>
      <c r="C101" s="6" t="s">
        <v>36</v>
      </c>
      <c r="D101" s="5"/>
      <c r="E101" s="6" t="s">
        <v>54</v>
      </c>
      <c r="F101" s="6" t="s">
        <v>60</v>
      </c>
    </row>
    <row r="102" spans="1:6" ht="25.05" customHeight="1">
      <c r="A102" s="6">
        <v>4</v>
      </c>
      <c r="B102" s="6" t="s">
        <v>41</v>
      </c>
      <c r="C102" s="6" t="s">
        <v>42</v>
      </c>
      <c r="D102" s="5"/>
      <c r="E102" s="6" t="s">
        <v>69</v>
      </c>
      <c r="F102" s="6" t="s">
        <v>60</v>
      </c>
    </row>
    <row r="103" spans="1:6" ht="25.05" customHeight="1">
      <c r="A103" s="6">
        <v>4</v>
      </c>
      <c r="B103" s="6" t="s">
        <v>45</v>
      </c>
      <c r="C103" s="6" t="s">
        <v>46</v>
      </c>
      <c r="D103" s="5"/>
      <c r="E103" s="6" t="s">
        <v>69</v>
      </c>
      <c r="F103" s="6" t="s">
        <v>60</v>
      </c>
    </row>
    <row r="104" spans="1:6" ht="25.05" customHeight="1">
      <c r="A104" s="6">
        <v>4</v>
      </c>
      <c r="B104" s="6" t="s">
        <v>70</v>
      </c>
      <c r="C104" s="6" t="s">
        <v>71</v>
      </c>
      <c r="D104" s="5"/>
      <c r="E104" s="6" t="s">
        <v>54</v>
      </c>
      <c r="F104" s="6" t="s">
        <v>60</v>
      </c>
    </row>
    <row r="105" spans="1:6" ht="25.05" customHeight="1">
      <c r="A105" s="6">
        <v>4</v>
      </c>
      <c r="B105" s="6" t="s">
        <v>72</v>
      </c>
      <c r="C105" s="6" t="s">
        <v>73</v>
      </c>
      <c r="D105" s="5"/>
      <c r="E105" s="6" t="s">
        <v>54</v>
      </c>
      <c r="F105" s="6" t="s">
        <v>60</v>
      </c>
    </row>
    <row r="106" spans="1:6" ht="25.05" customHeight="1">
      <c r="A106" s="6">
        <v>4</v>
      </c>
      <c r="B106" s="6" t="s">
        <v>74</v>
      </c>
      <c r="C106" s="6" t="s">
        <v>75</v>
      </c>
      <c r="D106" s="5">
        <v>5</v>
      </c>
      <c r="E106" s="6" t="s">
        <v>54</v>
      </c>
      <c r="F106" s="6" t="s">
        <v>55</v>
      </c>
    </row>
    <row r="107" spans="1:6" ht="25.05" customHeight="1">
      <c r="A107" s="6">
        <v>4</v>
      </c>
      <c r="B107" s="6" t="s">
        <v>76</v>
      </c>
      <c r="C107" s="6" t="s">
        <v>77</v>
      </c>
      <c r="D107" s="5">
        <v>8</v>
      </c>
      <c r="E107" s="6" t="s">
        <v>54</v>
      </c>
      <c r="F107" s="6" t="s">
        <v>55</v>
      </c>
    </row>
    <row r="108" spans="1:6" ht="25.05" customHeight="1">
      <c r="A108" s="6">
        <v>4</v>
      </c>
      <c r="B108" s="6" t="s">
        <v>78</v>
      </c>
      <c r="C108" s="6" t="s">
        <v>79</v>
      </c>
      <c r="D108" s="5">
        <v>32</v>
      </c>
      <c r="E108" s="6" t="s">
        <v>54</v>
      </c>
      <c r="F108" s="6" t="s">
        <v>55</v>
      </c>
    </row>
    <row r="109" spans="1:6" ht="25.05" customHeight="1">
      <c r="A109" s="6">
        <v>4</v>
      </c>
      <c r="B109" s="6" t="s">
        <v>80</v>
      </c>
      <c r="C109" s="6" t="s">
        <v>81</v>
      </c>
      <c r="D109" s="5">
        <v>4.4999999999999998E-2</v>
      </c>
      <c r="E109" s="6" t="s">
        <v>69</v>
      </c>
      <c r="F109" s="6" t="s">
        <v>55</v>
      </c>
    </row>
    <row r="110" spans="1:6" ht="25.05" customHeight="1">
      <c r="A110" s="6">
        <v>4</v>
      </c>
      <c r="B110" s="6" t="s">
        <v>82</v>
      </c>
      <c r="C110" s="6" t="s">
        <v>83</v>
      </c>
      <c r="D110" s="5">
        <v>0.9</v>
      </c>
      <c r="E110" s="6" t="s">
        <v>54</v>
      </c>
      <c r="F110" s="6" t="s">
        <v>55</v>
      </c>
    </row>
    <row r="111" spans="1:6" ht="25.05" customHeight="1">
      <c r="A111" s="6">
        <v>4</v>
      </c>
      <c r="B111" s="6" t="s">
        <v>84</v>
      </c>
      <c r="C111" s="6" t="s">
        <v>85</v>
      </c>
      <c r="D111" s="5">
        <v>0.16</v>
      </c>
      <c r="E111" s="6" t="s">
        <v>69</v>
      </c>
      <c r="F111" s="6" t="s">
        <v>55</v>
      </c>
    </row>
    <row r="112" spans="1:6" ht="25.05" customHeight="1">
      <c r="A112" s="6">
        <v>4</v>
      </c>
      <c r="B112" s="6" t="s">
        <v>86</v>
      </c>
      <c r="C112" s="6" t="s">
        <v>87</v>
      </c>
      <c r="D112" s="5">
        <v>180</v>
      </c>
      <c r="E112" s="6" t="s">
        <v>54</v>
      </c>
      <c r="F112" s="6" t="s">
        <v>55</v>
      </c>
    </row>
    <row r="113" spans="1:6" ht="25.05" customHeight="1">
      <c r="A113" s="6">
        <v>4</v>
      </c>
      <c r="B113" s="6" t="s">
        <v>88</v>
      </c>
      <c r="C113" s="6" t="s">
        <v>89</v>
      </c>
      <c r="D113" s="5">
        <v>0.38</v>
      </c>
      <c r="E113" s="6" t="s">
        <v>69</v>
      </c>
      <c r="F113" s="6" t="s">
        <v>55</v>
      </c>
    </row>
    <row r="114" spans="1:6" ht="25.05" customHeight="1">
      <c r="A114" s="6">
        <v>4</v>
      </c>
      <c r="B114" s="6" t="s">
        <v>90</v>
      </c>
      <c r="C114" s="6" t="s">
        <v>91</v>
      </c>
      <c r="D114" s="5">
        <v>45</v>
      </c>
      <c r="E114" s="6" t="s">
        <v>64</v>
      </c>
      <c r="F114" s="6" t="s">
        <v>55</v>
      </c>
    </row>
    <row r="115" spans="1:6" ht="25.05" customHeight="1">
      <c r="A115" s="6">
        <v>4</v>
      </c>
      <c r="B115" s="6" t="s">
        <v>92</v>
      </c>
      <c r="C115" s="6" t="s">
        <v>93</v>
      </c>
      <c r="D115" s="5">
        <v>90</v>
      </c>
      <c r="E115" s="6" t="s">
        <v>64</v>
      </c>
      <c r="F115" s="6" t="s">
        <v>55</v>
      </c>
    </row>
    <row r="116" spans="1:6" ht="25.05" customHeight="1">
      <c r="A116" s="6">
        <v>4</v>
      </c>
      <c r="B116" s="6" t="s">
        <v>94</v>
      </c>
      <c r="C116" s="6" t="s">
        <v>95</v>
      </c>
      <c r="D116" s="5">
        <v>0.42</v>
      </c>
      <c r="E116" s="6" t="s">
        <v>69</v>
      </c>
      <c r="F116" s="6" t="s">
        <v>55</v>
      </c>
    </row>
    <row r="117" spans="1:6" ht="25.05" customHeight="1">
      <c r="A117" s="6">
        <v>4</v>
      </c>
      <c r="B117" s="6" t="s">
        <v>96</v>
      </c>
      <c r="C117" s="6" t="s">
        <v>97</v>
      </c>
      <c r="D117" s="5">
        <v>1</v>
      </c>
      <c r="E117" s="6" t="s">
        <v>54</v>
      </c>
      <c r="F117" s="6" t="s">
        <v>55</v>
      </c>
    </row>
    <row r="118" spans="1:6" ht="25.05" customHeight="1">
      <c r="A118" s="6">
        <v>4</v>
      </c>
      <c r="B118" s="6" t="s">
        <v>98</v>
      </c>
      <c r="C118" s="6" t="s">
        <v>99</v>
      </c>
      <c r="D118" s="5">
        <v>1</v>
      </c>
      <c r="E118" s="6" t="s">
        <v>54</v>
      </c>
      <c r="F118" s="6" t="s">
        <v>55</v>
      </c>
    </row>
    <row r="119" spans="1:6" ht="25.05" customHeight="1">
      <c r="A119" s="6">
        <v>4</v>
      </c>
      <c r="B119" s="6" t="s">
        <v>100</v>
      </c>
      <c r="C119" s="6" t="s">
        <v>101</v>
      </c>
      <c r="D119" s="5">
        <v>1</v>
      </c>
      <c r="E119" s="6" t="s">
        <v>54</v>
      </c>
      <c r="F119" s="6" t="s">
        <v>55</v>
      </c>
    </row>
    <row r="120" spans="1:6" ht="25.05" customHeight="1">
      <c r="A120" s="6">
        <v>4</v>
      </c>
      <c r="B120" s="6" t="s">
        <v>102</v>
      </c>
      <c r="C120" s="6" t="s">
        <v>103</v>
      </c>
      <c r="D120" s="5">
        <v>1</v>
      </c>
      <c r="E120" s="6" t="s">
        <v>54</v>
      </c>
      <c r="F120" s="6" t="s">
        <v>104</v>
      </c>
    </row>
    <row r="121" spans="1:6" ht="25.05" customHeight="1">
      <c r="A121" s="6">
        <v>4</v>
      </c>
      <c r="B121" s="6" t="s">
        <v>105</v>
      </c>
      <c r="C121" s="6" t="s">
        <v>106</v>
      </c>
      <c r="D121" s="5">
        <v>1</v>
      </c>
      <c r="E121" s="6" t="s">
        <v>54</v>
      </c>
      <c r="F121" s="6" t="s">
        <v>55</v>
      </c>
    </row>
    <row r="122" spans="1:6" ht="25.05" customHeight="1">
      <c r="A122" s="6">
        <v>5</v>
      </c>
      <c r="B122" s="6" t="s">
        <v>52</v>
      </c>
      <c r="C122" s="6" t="s">
        <v>53</v>
      </c>
      <c r="D122" s="5">
        <v>2407</v>
      </c>
      <c r="E122" s="6" t="s">
        <v>54</v>
      </c>
      <c r="F122" s="6" t="s">
        <v>55</v>
      </c>
    </row>
    <row r="123" spans="1:6" ht="25.05" customHeight="1">
      <c r="A123" s="6">
        <v>5</v>
      </c>
      <c r="B123" s="6" t="s">
        <v>56</v>
      </c>
      <c r="C123" s="6" t="s">
        <v>57</v>
      </c>
      <c r="D123" s="5" t="s">
        <v>58</v>
      </c>
      <c r="E123" s="6" t="s">
        <v>54</v>
      </c>
      <c r="F123" s="6" t="s">
        <v>55</v>
      </c>
    </row>
    <row r="124" spans="1:6" ht="25.05" customHeight="1">
      <c r="A124" s="6">
        <v>5</v>
      </c>
      <c r="B124" s="6" t="s">
        <v>59</v>
      </c>
      <c r="C124" s="6" t="s">
        <v>38</v>
      </c>
      <c r="D124" s="5"/>
      <c r="E124" s="6" t="s">
        <v>54</v>
      </c>
      <c r="F124" s="6" t="s">
        <v>60</v>
      </c>
    </row>
    <row r="125" spans="1:6" ht="25.05" customHeight="1">
      <c r="A125" s="6">
        <v>5</v>
      </c>
      <c r="B125" s="6" t="s">
        <v>61</v>
      </c>
      <c r="C125" s="6" t="s">
        <v>40</v>
      </c>
      <c r="D125" s="5"/>
      <c r="E125" s="6" t="s">
        <v>54</v>
      </c>
      <c r="F125" s="6" t="s">
        <v>60</v>
      </c>
    </row>
    <row r="126" spans="1:6" ht="25.05" customHeight="1">
      <c r="A126" s="6">
        <v>5</v>
      </c>
      <c r="B126" s="6" t="s">
        <v>62</v>
      </c>
      <c r="C126" s="6" t="s">
        <v>63</v>
      </c>
      <c r="D126" s="5">
        <v>960</v>
      </c>
      <c r="E126" s="6" t="s">
        <v>64</v>
      </c>
      <c r="F126" s="6" t="s">
        <v>55</v>
      </c>
    </row>
    <row r="127" spans="1:6" ht="25.05" customHeight="1">
      <c r="A127" s="6">
        <v>5</v>
      </c>
      <c r="B127" s="6" t="s">
        <v>65</v>
      </c>
      <c r="C127" s="6" t="s">
        <v>10</v>
      </c>
      <c r="D127" s="5"/>
      <c r="E127" s="6" t="s">
        <v>54</v>
      </c>
      <c r="F127" s="6" t="s">
        <v>60</v>
      </c>
    </row>
    <row r="128" spans="1:6" ht="25.05" customHeight="1">
      <c r="A128" s="6">
        <v>5</v>
      </c>
      <c r="B128" s="6" t="s">
        <v>66</v>
      </c>
      <c r="C128" s="6" t="s">
        <v>11</v>
      </c>
      <c r="D128" s="5"/>
      <c r="E128" s="6" t="s">
        <v>54</v>
      </c>
      <c r="F128" s="6" t="s">
        <v>60</v>
      </c>
    </row>
    <row r="129" spans="1:6" ht="25.05" customHeight="1">
      <c r="A129" s="6">
        <v>5</v>
      </c>
      <c r="B129" s="6" t="s">
        <v>67</v>
      </c>
      <c r="C129" s="6" t="s">
        <v>12</v>
      </c>
      <c r="D129" s="5">
        <v>50</v>
      </c>
      <c r="E129" s="6" t="s">
        <v>54</v>
      </c>
      <c r="F129" s="6" t="s">
        <v>60</v>
      </c>
    </row>
    <row r="130" spans="1:6" ht="25.05" customHeight="1">
      <c r="A130" s="6">
        <v>5</v>
      </c>
      <c r="B130" s="6" t="s">
        <v>68</v>
      </c>
      <c r="C130" s="6" t="s">
        <v>36</v>
      </c>
      <c r="D130" s="5">
        <v>40</v>
      </c>
      <c r="E130" s="6" t="s">
        <v>54</v>
      </c>
      <c r="F130" s="6" t="s">
        <v>60</v>
      </c>
    </row>
    <row r="131" spans="1:6" ht="25.05" customHeight="1">
      <c r="A131" s="6">
        <v>5</v>
      </c>
      <c r="B131" s="6" t="s">
        <v>41</v>
      </c>
      <c r="C131" s="6" t="s">
        <v>42</v>
      </c>
      <c r="D131" s="5"/>
      <c r="E131" s="6" t="s">
        <v>69</v>
      </c>
      <c r="F131" s="6" t="s">
        <v>60</v>
      </c>
    </row>
    <row r="132" spans="1:6" ht="25.05" customHeight="1">
      <c r="A132" s="6">
        <v>5</v>
      </c>
      <c r="B132" s="6" t="s">
        <v>45</v>
      </c>
      <c r="C132" s="6" t="s">
        <v>46</v>
      </c>
      <c r="D132" s="5"/>
      <c r="E132" s="6" t="s">
        <v>69</v>
      </c>
      <c r="F132" s="6" t="s">
        <v>60</v>
      </c>
    </row>
    <row r="133" spans="1:6" ht="25.05" customHeight="1">
      <c r="A133" s="6">
        <v>5</v>
      </c>
      <c r="B133" s="6" t="s">
        <v>70</v>
      </c>
      <c r="C133" s="6" t="s">
        <v>71</v>
      </c>
      <c r="D133" s="5"/>
      <c r="E133" s="6" t="s">
        <v>54</v>
      </c>
      <c r="F133" s="6" t="s">
        <v>60</v>
      </c>
    </row>
    <row r="134" spans="1:6" ht="25.05" customHeight="1">
      <c r="A134" s="6">
        <v>5</v>
      </c>
      <c r="B134" s="6" t="s">
        <v>72</v>
      </c>
      <c r="C134" s="6" t="s">
        <v>73</v>
      </c>
      <c r="D134" s="5"/>
      <c r="E134" s="6" t="s">
        <v>54</v>
      </c>
      <c r="F134" s="6" t="s">
        <v>60</v>
      </c>
    </row>
    <row r="135" spans="1:6" ht="25.05" customHeight="1">
      <c r="A135" s="6">
        <v>5</v>
      </c>
      <c r="B135" s="6" t="s">
        <v>74</v>
      </c>
      <c r="C135" s="6" t="s">
        <v>75</v>
      </c>
      <c r="D135" s="5">
        <v>6</v>
      </c>
      <c r="E135" s="6" t="s">
        <v>54</v>
      </c>
      <c r="F135" s="6" t="s">
        <v>55</v>
      </c>
    </row>
    <row r="136" spans="1:6" ht="25.05" customHeight="1">
      <c r="A136" s="6">
        <v>5</v>
      </c>
      <c r="B136" s="6" t="s">
        <v>76</v>
      </c>
      <c r="C136" s="6" t="s">
        <v>77</v>
      </c>
      <c r="D136" s="5">
        <v>10</v>
      </c>
      <c r="E136" s="6" t="s">
        <v>54</v>
      </c>
      <c r="F136" s="6" t="s">
        <v>55</v>
      </c>
    </row>
    <row r="137" spans="1:6" ht="25.05" customHeight="1">
      <c r="A137" s="6">
        <v>5</v>
      </c>
      <c r="B137" s="6" t="s">
        <v>78</v>
      </c>
      <c r="C137" s="6" t="s">
        <v>79</v>
      </c>
      <c r="D137" s="5">
        <v>42</v>
      </c>
      <c r="E137" s="6" t="s">
        <v>54</v>
      </c>
      <c r="F137" s="6" t="s">
        <v>55</v>
      </c>
    </row>
    <row r="138" spans="1:6" ht="25.05" customHeight="1">
      <c r="A138" s="6">
        <v>5</v>
      </c>
      <c r="B138" s="6" t="s">
        <v>80</v>
      </c>
      <c r="C138" s="6" t="s">
        <v>81</v>
      </c>
      <c r="D138" s="5">
        <v>5.5E-2</v>
      </c>
      <c r="E138" s="6" t="s">
        <v>69</v>
      </c>
      <c r="F138" s="6" t="s">
        <v>55</v>
      </c>
    </row>
    <row r="139" spans="1:6" ht="25.05" customHeight="1">
      <c r="A139" s="6">
        <v>5</v>
      </c>
      <c r="B139" s="6" t="s">
        <v>82</v>
      </c>
      <c r="C139" s="6" t="s">
        <v>83</v>
      </c>
      <c r="D139" s="5">
        <v>0.9</v>
      </c>
      <c r="E139" s="6" t="s">
        <v>54</v>
      </c>
      <c r="F139" s="6" t="s">
        <v>55</v>
      </c>
    </row>
    <row r="140" spans="1:6" ht="25.05" customHeight="1">
      <c r="A140" s="6">
        <v>5</v>
      </c>
      <c r="B140" s="6" t="s">
        <v>84</v>
      </c>
      <c r="C140" s="6" t="s">
        <v>85</v>
      </c>
      <c r="D140" s="5">
        <v>0.16</v>
      </c>
      <c r="E140" s="6" t="s">
        <v>69</v>
      </c>
      <c r="F140" s="6" t="s">
        <v>55</v>
      </c>
    </row>
    <row r="141" spans="1:6" ht="25.05" customHeight="1">
      <c r="A141" s="6">
        <v>5</v>
      </c>
      <c r="B141" s="6" t="s">
        <v>86</v>
      </c>
      <c r="C141" s="6" t="s">
        <v>87</v>
      </c>
      <c r="D141" s="5">
        <v>300</v>
      </c>
      <c r="E141" s="6" t="s">
        <v>54</v>
      </c>
      <c r="F141" s="6" t="s">
        <v>55</v>
      </c>
    </row>
    <row r="142" spans="1:6" ht="25.05" customHeight="1">
      <c r="A142" s="6">
        <v>5</v>
      </c>
      <c r="B142" s="6" t="s">
        <v>88</v>
      </c>
      <c r="C142" s="6" t="s">
        <v>89</v>
      </c>
      <c r="D142" s="5">
        <v>0.5</v>
      </c>
      <c r="E142" s="6" t="s">
        <v>69</v>
      </c>
      <c r="F142" s="6" t="s">
        <v>55</v>
      </c>
    </row>
    <row r="143" spans="1:6" ht="25.05" customHeight="1">
      <c r="A143" s="6">
        <v>5</v>
      </c>
      <c r="B143" s="6" t="s">
        <v>90</v>
      </c>
      <c r="C143" s="6" t="s">
        <v>91</v>
      </c>
      <c r="D143" s="5">
        <v>50</v>
      </c>
      <c r="E143" s="6" t="s">
        <v>64</v>
      </c>
      <c r="F143" s="6" t="s">
        <v>55</v>
      </c>
    </row>
    <row r="144" spans="1:6" ht="25.05" customHeight="1">
      <c r="A144" s="6">
        <v>5</v>
      </c>
      <c r="B144" s="6" t="s">
        <v>92</v>
      </c>
      <c r="C144" s="6" t="s">
        <v>93</v>
      </c>
      <c r="D144" s="5">
        <v>60</v>
      </c>
      <c r="E144" s="6" t="s">
        <v>64</v>
      </c>
      <c r="F144" s="6" t="s">
        <v>55</v>
      </c>
    </row>
    <row r="145" spans="1:6" ht="25.05" customHeight="1">
      <c r="A145" s="6">
        <v>5</v>
      </c>
      <c r="B145" s="6" t="s">
        <v>94</v>
      </c>
      <c r="C145" s="6" t="s">
        <v>95</v>
      </c>
      <c r="D145" s="5">
        <v>0.42</v>
      </c>
      <c r="E145" s="6" t="s">
        <v>69</v>
      </c>
      <c r="F145" s="6" t="s">
        <v>55</v>
      </c>
    </row>
    <row r="146" spans="1:6" ht="25.05" customHeight="1">
      <c r="A146" s="6">
        <v>5</v>
      </c>
      <c r="B146" s="6" t="s">
        <v>96</v>
      </c>
      <c r="C146" s="6" t="s">
        <v>97</v>
      </c>
      <c r="D146" s="5">
        <v>1</v>
      </c>
      <c r="E146" s="6" t="s">
        <v>54</v>
      </c>
      <c r="F146" s="6" t="s">
        <v>55</v>
      </c>
    </row>
    <row r="147" spans="1:6" ht="25.05" customHeight="1">
      <c r="A147" s="6">
        <v>5</v>
      </c>
      <c r="B147" s="6" t="s">
        <v>98</v>
      </c>
      <c r="C147" s="6" t="s">
        <v>99</v>
      </c>
      <c r="D147" s="5">
        <v>1</v>
      </c>
      <c r="E147" s="6" t="s">
        <v>54</v>
      </c>
      <c r="F147" s="6" t="s">
        <v>55</v>
      </c>
    </row>
    <row r="148" spans="1:6" ht="25.05" customHeight="1">
      <c r="A148" s="6">
        <v>5</v>
      </c>
      <c r="B148" s="6" t="s">
        <v>100</v>
      </c>
      <c r="C148" s="6" t="s">
        <v>101</v>
      </c>
      <c r="D148" s="5">
        <v>1</v>
      </c>
      <c r="E148" s="6" t="s">
        <v>54</v>
      </c>
      <c r="F148" s="6" t="s">
        <v>55</v>
      </c>
    </row>
    <row r="149" spans="1:6" ht="25.05" customHeight="1">
      <c r="A149" s="6">
        <v>5</v>
      </c>
      <c r="B149" s="6" t="s">
        <v>102</v>
      </c>
      <c r="C149" s="6" t="s">
        <v>103</v>
      </c>
      <c r="D149" s="5">
        <v>1</v>
      </c>
      <c r="E149" s="6" t="s">
        <v>54</v>
      </c>
      <c r="F149" s="6" t="s">
        <v>104</v>
      </c>
    </row>
    <row r="150" spans="1:6" ht="25.05" customHeight="1">
      <c r="A150" s="6">
        <v>5</v>
      </c>
      <c r="B150" s="6" t="s">
        <v>105</v>
      </c>
      <c r="C150" s="6" t="s">
        <v>106</v>
      </c>
      <c r="D150" s="5">
        <v>1</v>
      </c>
      <c r="E150" s="6" t="s">
        <v>54</v>
      </c>
      <c r="F150" s="6" t="s">
        <v>55</v>
      </c>
    </row>
    <row r="151" spans="1:6" ht="25.05" customHeight="1">
      <c r="A151" s="6">
        <v>6</v>
      </c>
      <c r="B151" s="6" t="s">
        <v>52</v>
      </c>
      <c r="C151" s="6" t="s">
        <v>53</v>
      </c>
      <c r="D151" s="5">
        <v>2407</v>
      </c>
      <c r="E151" s="6" t="s">
        <v>54</v>
      </c>
      <c r="F151" s="6" t="s">
        <v>55</v>
      </c>
    </row>
    <row r="152" spans="1:6" ht="25.05" customHeight="1">
      <c r="A152" s="6">
        <v>6</v>
      </c>
      <c r="B152" s="6" t="s">
        <v>56</v>
      </c>
      <c r="C152" s="6" t="s">
        <v>57</v>
      </c>
      <c r="D152" s="5" t="s">
        <v>58</v>
      </c>
      <c r="E152" s="6" t="s">
        <v>54</v>
      </c>
      <c r="F152" s="6" t="s">
        <v>55</v>
      </c>
    </row>
    <row r="153" spans="1:6" ht="25.05" customHeight="1">
      <c r="A153" s="6">
        <v>6</v>
      </c>
      <c r="B153" s="6" t="s">
        <v>59</v>
      </c>
      <c r="C153" s="6" t="s">
        <v>38</v>
      </c>
      <c r="D153" s="5"/>
      <c r="E153" s="6" t="s">
        <v>54</v>
      </c>
      <c r="F153" s="6" t="s">
        <v>60</v>
      </c>
    </row>
    <row r="154" spans="1:6" ht="25.05" customHeight="1">
      <c r="A154" s="6">
        <v>6</v>
      </c>
      <c r="B154" s="6" t="s">
        <v>61</v>
      </c>
      <c r="C154" s="6" t="s">
        <v>40</v>
      </c>
      <c r="D154" s="5"/>
      <c r="E154" s="6" t="s">
        <v>54</v>
      </c>
      <c r="F154" s="6" t="s">
        <v>60</v>
      </c>
    </row>
    <row r="155" spans="1:6" ht="25.05" customHeight="1">
      <c r="A155" s="6">
        <v>6</v>
      </c>
      <c r="B155" s="6" t="s">
        <v>62</v>
      </c>
      <c r="C155" s="6" t="s">
        <v>63</v>
      </c>
      <c r="D155" s="5">
        <v>1080</v>
      </c>
      <c r="E155" s="6" t="s">
        <v>64</v>
      </c>
      <c r="F155" s="6" t="s">
        <v>55</v>
      </c>
    </row>
    <row r="156" spans="1:6" ht="25.05" customHeight="1">
      <c r="A156" s="6">
        <v>6</v>
      </c>
      <c r="B156" s="6" t="s">
        <v>65</v>
      </c>
      <c r="C156" s="6" t="s">
        <v>10</v>
      </c>
      <c r="D156" s="5"/>
      <c r="E156" s="6" t="s">
        <v>54</v>
      </c>
      <c r="F156" s="6" t="s">
        <v>60</v>
      </c>
    </row>
    <row r="157" spans="1:6" ht="25.05" customHeight="1">
      <c r="A157" s="6">
        <v>6</v>
      </c>
      <c r="B157" s="6" t="s">
        <v>66</v>
      </c>
      <c r="C157" s="6" t="s">
        <v>11</v>
      </c>
      <c r="D157" s="5"/>
      <c r="E157" s="6" t="s">
        <v>54</v>
      </c>
      <c r="F157" s="6" t="s">
        <v>60</v>
      </c>
    </row>
    <row r="158" spans="1:6" ht="25.05" customHeight="1">
      <c r="A158" s="6">
        <v>6</v>
      </c>
      <c r="B158" s="6" t="s">
        <v>67</v>
      </c>
      <c r="C158" s="6" t="s">
        <v>12</v>
      </c>
      <c r="D158" s="5">
        <v>60</v>
      </c>
      <c r="E158" s="6" t="s">
        <v>54</v>
      </c>
      <c r="F158" s="6" t="s">
        <v>60</v>
      </c>
    </row>
    <row r="159" spans="1:6" ht="25.05" customHeight="1">
      <c r="A159" s="6">
        <v>6</v>
      </c>
      <c r="B159" s="6" t="s">
        <v>68</v>
      </c>
      <c r="C159" s="6" t="s">
        <v>36</v>
      </c>
      <c r="D159" s="5">
        <v>50</v>
      </c>
      <c r="E159" s="6" t="s">
        <v>54</v>
      </c>
      <c r="F159" s="6" t="s">
        <v>60</v>
      </c>
    </row>
    <row r="160" spans="1:6" ht="25.05" customHeight="1">
      <c r="A160" s="6">
        <v>6</v>
      </c>
      <c r="B160" s="6" t="s">
        <v>41</v>
      </c>
      <c r="C160" s="6" t="s">
        <v>42</v>
      </c>
      <c r="D160" s="5"/>
      <c r="E160" s="6" t="s">
        <v>69</v>
      </c>
      <c r="F160" s="6" t="s">
        <v>60</v>
      </c>
    </row>
    <row r="161" spans="1:6" ht="25.05" customHeight="1">
      <c r="A161" s="6">
        <v>6</v>
      </c>
      <c r="B161" s="6" t="s">
        <v>45</v>
      </c>
      <c r="C161" s="6" t="s">
        <v>46</v>
      </c>
      <c r="D161" s="5"/>
      <c r="E161" s="6" t="s">
        <v>69</v>
      </c>
      <c r="F161" s="6" t="s">
        <v>60</v>
      </c>
    </row>
    <row r="162" spans="1:6" ht="25.05" customHeight="1">
      <c r="A162" s="6">
        <v>6</v>
      </c>
      <c r="B162" s="6" t="s">
        <v>70</v>
      </c>
      <c r="C162" s="6" t="s">
        <v>71</v>
      </c>
      <c r="D162" s="5"/>
      <c r="E162" s="6" t="s">
        <v>54</v>
      </c>
      <c r="F162" s="6" t="s">
        <v>60</v>
      </c>
    </row>
    <row r="163" spans="1:6" ht="25.05" customHeight="1">
      <c r="A163" s="6">
        <v>6</v>
      </c>
      <c r="B163" s="6" t="s">
        <v>72</v>
      </c>
      <c r="C163" s="6" t="s">
        <v>73</v>
      </c>
      <c r="D163" s="5"/>
      <c r="E163" s="6" t="s">
        <v>54</v>
      </c>
      <c r="F163" s="6" t="s">
        <v>60</v>
      </c>
    </row>
    <row r="164" spans="1:6" ht="25.05" customHeight="1">
      <c r="A164" s="6">
        <v>6</v>
      </c>
      <c r="B164" s="6" t="s">
        <v>74</v>
      </c>
      <c r="C164" s="6" t="s">
        <v>75</v>
      </c>
      <c r="D164" s="5">
        <v>7</v>
      </c>
      <c r="E164" s="6" t="s">
        <v>54</v>
      </c>
      <c r="F164" s="6" t="s">
        <v>55</v>
      </c>
    </row>
    <row r="165" spans="1:6" ht="25.05" customHeight="1">
      <c r="A165" s="6">
        <v>6</v>
      </c>
      <c r="B165" s="6" t="s">
        <v>76</v>
      </c>
      <c r="C165" s="6" t="s">
        <v>77</v>
      </c>
      <c r="D165" s="5">
        <v>12</v>
      </c>
      <c r="E165" s="6" t="s">
        <v>54</v>
      </c>
      <c r="F165" s="6" t="s">
        <v>55</v>
      </c>
    </row>
    <row r="166" spans="1:6" ht="25.05" customHeight="1">
      <c r="A166" s="6">
        <v>6</v>
      </c>
      <c r="B166" s="6" t="s">
        <v>78</v>
      </c>
      <c r="C166" s="6" t="s">
        <v>79</v>
      </c>
      <c r="D166" s="5">
        <v>50</v>
      </c>
      <c r="E166" s="6" t="s">
        <v>54</v>
      </c>
      <c r="F166" s="6" t="s">
        <v>55</v>
      </c>
    </row>
    <row r="167" spans="1:6" ht="25.05" customHeight="1">
      <c r="A167" s="6">
        <v>6</v>
      </c>
      <c r="B167" s="6" t="s">
        <v>80</v>
      </c>
      <c r="C167" s="6" t="s">
        <v>81</v>
      </c>
      <c r="D167" s="5">
        <v>6.5000000000000002E-2</v>
      </c>
      <c r="E167" s="6" t="s">
        <v>69</v>
      </c>
      <c r="F167" s="6" t="s">
        <v>55</v>
      </c>
    </row>
    <row r="168" spans="1:6" ht="25.05" customHeight="1">
      <c r="A168" s="6">
        <v>6</v>
      </c>
      <c r="B168" s="6" t="s">
        <v>82</v>
      </c>
      <c r="C168" s="6" t="s">
        <v>83</v>
      </c>
      <c r="D168" s="5">
        <v>0.9</v>
      </c>
      <c r="E168" s="6" t="s">
        <v>54</v>
      </c>
      <c r="F168" s="6" t="s">
        <v>55</v>
      </c>
    </row>
    <row r="169" spans="1:6" ht="25.05" customHeight="1">
      <c r="A169" s="6">
        <v>6</v>
      </c>
      <c r="B169" s="6" t="s">
        <v>84</v>
      </c>
      <c r="C169" s="6" t="s">
        <v>85</v>
      </c>
      <c r="D169" s="5">
        <v>0.16</v>
      </c>
      <c r="E169" s="6" t="s">
        <v>69</v>
      </c>
      <c r="F169" s="6" t="s">
        <v>55</v>
      </c>
    </row>
    <row r="170" spans="1:6" ht="25.05" customHeight="1">
      <c r="A170" s="6">
        <v>6</v>
      </c>
      <c r="B170" s="6" t="s">
        <v>86</v>
      </c>
      <c r="C170" s="6" t="s">
        <v>87</v>
      </c>
      <c r="D170" s="5">
        <v>450</v>
      </c>
      <c r="E170" s="6" t="s">
        <v>54</v>
      </c>
      <c r="F170" s="6" t="s">
        <v>55</v>
      </c>
    </row>
    <row r="171" spans="1:6" ht="25.05" customHeight="1">
      <c r="A171" s="6">
        <v>6</v>
      </c>
      <c r="B171" s="6" t="s">
        <v>88</v>
      </c>
      <c r="C171" s="6" t="s">
        <v>89</v>
      </c>
      <c r="D171" s="5">
        <v>0.6</v>
      </c>
      <c r="E171" s="6" t="s">
        <v>69</v>
      </c>
      <c r="F171" s="6" t="s">
        <v>55</v>
      </c>
    </row>
    <row r="172" spans="1:6" ht="25.05" customHeight="1">
      <c r="A172" s="6">
        <v>6</v>
      </c>
      <c r="B172" s="6" t="s">
        <v>90</v>
      </c>
      <c r="C172" s="6" t="s">
        <v>91</v>
      </c>
      <c r="D172" s="5">
        <v>45</v>
      </c>
      <c r="E172" s="6" t="s">
        <v>64</v>
      </c>
      <c r="F172" s="6" t="s">
        <v>55</v>
      </c>
    </row>
    <row r="173" spans="1:6" ht="25.05" customHeight="1">
      <c r="A173" s="6">
        <v>6</v>
      </c>
      <c r="B173" s="6" t="s">
        <v>92</v>
      </c>
      <c r="C173" s="6" t="s">
        <v>93</v>
      </c>
      <c r="D173" s="5">
        <v>60</v>
      </c>
      <c r="E173" s="6" t="s">
        <v>64</v>
      </c>
      <c r="F173" s="6" t="s">
        <v>55</v>
      </c>
    </row>
    <row r="174" spans="1:6" ht="25.05" customHeight="1">
      <c r="A174" s="6">
        <v>6</v>
      </c>
      <c r="B174" s="6" t="s">
        <v>94</v>
      </c>
      <c r="C174" s="6" t="s">
        <v>95</v>
      </c>
      <c r="D174" s="5">
        <v>0.42</v>
      </c>
      <c r="E174" s="6" t="s">
        <v>69</v>
      </c>
      <c r="F174" s="6" t="s">
        <v>55</v>
      </c>
    </row>
    <row r="175" spans="1:6" ht="25.05" customHeight="1">
      <c r="A175" s="6">
        <v>6</v>
      </c>
      <c r="B175" s="6" t="s">
        <v>96</v>
      </c>
      <c r="C175" s="6" t="s">
        <v>97</v>
      </c>
      <c r="D175" s="5">
        <v>1</v>
      </c>
      <c r="E175" s="6" t="s">
        <v>54</v>
      </c>
      <c r="F175" s="6" t="s">
        <v>55</v>
      </c>
    </row>
    <row r="176" spans="1:6" ht="25.05" customHeight="1">
      <c r="A176" s="6">
        <v>6</v>
      </c>
      <c r="B176" s="6" t="s">
        <v>98</v>
      </c>
      <c r="C176" s="6" t="s">
        <v>99</v>
      </c>
      <c r="D176" s="5">
        <v>1</v>
      </c>
      <c r="E176" s="6" t="s">
        <v>54</v>
      </c>
      <c r="F176" s="6" t="s">
        <v>55</v>
      </c>
    </row>
    <row r="177" spans="1:6" ht="25.05" customHeight="1">
      <c r="A177" s="6">
        <v>6</v>
      </c>
      <c r="B177" s="6" t="s">
        <v>100</v>
      </c>
      <c r="C177" s="6" t="s">
        <v>101</v>
      </c>
      <c r="D177" s="5">
        <v>1</v>
      </c>
      <c r="E177" s="6" t="s">
        <v>54</v>
      </c>
      <c r="F177" s="6" t="s">
        <v>55</v>
      </c>
    </row>
    <row r="178" spans="1:6" ht="25.05" customHeight="1">
      <c r="A178" s="6">
        <v>6</v>
      </c>
      <c r="B178" s="6" t="s">
        <v>102</v>
      </c>
      <c r="C178" s="6" t="s">
        <v>103</v>
      </c>
      <c r="D178" s="5">
        <v>1</v>
      </c>
      <c r="E178" s="6" t="s">
        <v>54</v>
      </c>
      <c r="F178" s="6" t="s">
        <v>104</v>
      </c>
    </row>
    <row r="179" spans="1:6" ht="25.05" customHeight="1">
      <c r="A179" s="6">
        <v>6</v>
      </c>
      <c r="B179" s="6" t="s">
        <v>105</v>
      </c>
      <c r="C179" s="6" t="s">
        <v>106</v>
      </c>
      <c r="D179" s="5">
        <v>1</v>
      </c>
      <c r="E179" s="6" t="s">
        <v>54</v>
      </c>
      <c r="F179" s="6" t="s">
        <v>55</v>
      </c>
    </row>
    <row r="180" spans="1:6">
      <c r="A180" s="2"/>
      <c r="B180" s="2"/>
      <c r="C180" s="2"/>
      <c r="D180" s="2"/>
      <c r="E180" s="2"/>
      <c r="F180" s="2"/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8"/>
  <sheetViews>
    <sheetView showGridLines="0" zoomScale="80" zoomScaleNormal="80" workbookViewId="0">
      <pane xSplit="2" ySplit="5" topLeftCell="E51" activePane="bottomRight" state="frozen"/>
      <selection pane="topRight"/>
      <selection pane="bottomLeft"/>
      <selection pane="bottomRight" activeCell="G8" sqref="G8"/>
    </sheetView>
  </sheetViews>
  <sheetFormatPr defaultRowHeight="13.5"/>
  <cols>
    <col min="1" max="1" width="9" customWidth="1"/>
    <col min="2" max="2" width="18" customWidth="1"/>
    <col min="3" max="3" width="25" customWidth="1"/>
    <col min="4" max="4" width="16" customWidth="1"/>
    <col min="5" max="5" width="20" customWidth="1"/>
    <col min="6" max="6" width="16" customWidth="1"/>
    <col min="7" max="7" width="20" customWidth="1"/>
    <col min="8" max="9" width="16" customWidth="1"/>
    <col min="10" max="10" width="20" customWidth="1"/>
    <col min="11" max="11" width="22" customWidth="1"/>
    <col min="12" max="12" width="23" customWidth="1"/>
    <col min="13" max="13" width="18" customWidth="1"/>
  </cols>
  <sheetData>
    <row r="1" spans="1:1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0.65">
      <c r="A2" s="3" t="s">
        <v>107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2" t="s">
        <v>108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>
      <c r="A4" s="4" t="s">
        <v>49</v>
      </c>
      <c r="B4" s="4" t="s">
        <v>109</v>
      </c>
      <c r="C4" s="4" t="s">
        <v>110</v>
      </c>
      <c r="D4" s="4" t="s">
        <v>111</v>
      </c>
      <c r="E4" s="4" t="s">
        <v>112</v>
      </c>
      <c r="F4" s="4" t="s">
        <v>113</v>
      </c>
      <c r="G4" s="4" t="s">
        <v>114</v>
      </c>
      <c r="H4" s="4" t="s">
        <v>115</v>
      </c>
      <c r="I4" s="4" t="s">
        <v>116</v>
      </c>
      <c r="J4" s="4" t="s">
        <v>117</v>
      </c>
      <c r="K4" s="4" t="s">
        <v>118</v>
      </c>
      <c r="L4" s="4" t="s">
        <v>119</v>
      </c>
      <c r="M4" s="4" t="s">
        <v>120</v>
      </c>
    </row>
    <row r="5" spans="1:13" ht="34.049999999999997" customHeight="1">
      <c r="A5" s="7" t="s">
        <v>2</v>
      </c>
      <c r="B5" s="7" t="s">
        <v>121</v>
      </c>
      <c r="C5" s="7" t="s">
        <v>122</v>
      </c>
      <c r="D5" s="7" t="s">
        <v>123</v>
      </c>
      <c r="E5" s="7" t="s">
        <v>124</v>
      </c>
      <c r="F5" s="7" t="s">
        <v>125</v>
      </c>
      <c r="G5" s="7" t="s">
        <v>8</v>
      </c>
      <c r="H5" s="7" t="s">
        <v>126</v>
      </c>
      <c r="I5" s="7" t="s">
        <v>127</v>
      </c>
      <c r="J5" s="7" t="s">
        <v>128</v>
      </c>
      <c r="K5" s="7" t="s">
        <v>129</v>
      </c>
      <c r="L5" s="7" t="s">
        <v>130</v>
      </c>
      <c r="M5" s="7" t="s">
        <v>131</v>
      </c>
    </row>
    <row r="6" spans="1:13" s="14" customFormat="1" ht="25.05" customHeight="1">
      <c r="A6" s="12">
        <v>1</v>
      </c>
      <c r="B6" s="12" t="s">
        <v>132</v>
      </c>
      <c r="C6" s="12" t="s">
        <v>133</v>
      </c>
      <c r="D6" s="12" t="s">
        <v>134</v>
      </c>
      <c r="E6" s="12"/>
      <c r="F6" s="12" t="s">
        <v>135</v>
      </c>
      <c r="G6" s="13">
        <v>0</v>
      </c>
      <c r="H6" s="12">
        <v>0</v>
      </c>
      <c r="I6" s="12">
        <v>0</v>
      </c>
      <c r="J6" s="12">
        <v>1392700</v>
      </c>
      <c r="K6" s="12">
        <v>0</v>
      </c>
      <c r="L6" s="12">
        <v>1</v>
      </c>
      <c r="M6" s="12" t="s">
        <v>136</v>
      </c>
    </row>
    <row r="7" spans="1:13" s="14" customFormat="1" ht="25.05" customHeight="1">
      <c r="A7" s="12">
        <v>1</v>
      </c>
      <c r="B7" s="12" t="s">
        <v>137</v>
      </c>
      <c r="C7" s="12" t="s">
        <v>138</v>
      </c>
      <c r="D7" s="12" t="s">
        <v>139</v>
      </c>
      <c r="E7" s="12" t="s">
        <v>132</v>
      </c>
      <c r="F7" s="12" t="s">
        <v>135</v>
      </c>
      <c r="G7" s="13">
        <v>0</v>
      </c>
      <c r="H7" s="12">
        <v>0</v>
      </c>
      <c r="I7" s="12">
        <v>0.39</v>
      </c>
      <c r="J7" s="12">
        <v>4879</v>
      </c>
      <c r="K7" s="12">
        <v>0</v>
      </c>
      <c r="L7" s="12">
        <v>1</v>
      </c>
      <c r="M7" s="12" t="s">
        <v>140</v>
      </c>
    </row>
    <row r="8" spans="1:13" s="14" customFormat="1" ht="25.05" customHeight="1">
      <c r="A8" s="12">
        <v>1</v>
      </c>
      <c r="B8" s="12" t="s">
        <v>141</v>
      </c>
      <c r="C8" s="12" t="s">
        <v>142</v>
      </c>
      <c r="D8" s="12" t="s">
        <v>139</v>
      </c>
      <c r="E8" s="12" t="s">
        <v>132</v>
      </c>
      <c r="F8" s="12" t="s">
        <v>135</v>
      </c>
      <c r="G8" s="13">
        <v>0</v>
      </c>
      <c r="H8" s="12">
        <v>1</v>
      </c>
      <c r="I8" s="12">
        <v>0.72</v>
      </c>
      <c r="J8" s="12">
        <v>12104</v>
      </c>
      <c r="K8" s="12">
        <v>0</v>
      </c>
      <c r="L8" s="12">
        <v>1</v>
      </c>
      <c r="M8" s="12" t="s">
        <v>143</v>
      </c>
    </row>
    <row r="9" spans="1:13" s="14" customFormat="1" ht="25.05" customHeight="1">
      <c r="A9" s="12">
        <v>1</v>
      </c>
      <c r="B9" s="12" t="s">
        <v>58</v>
      </c>
      <c r="C9" s="12" t="s">
        <v>144</v>
      </c>
      <c r="D9" s="12" t="s">
        <v>139</v>
      </c>
      <c r="E9" s="12" t="s">
        <v>132</v>
      </c>
      <c r="F9" s="12" t="s">
        <v>135</v>
      </c>
      <c r="G9" s="13">
        <v>0</v>
      </c>
      <c r="H9" s="12">
        <v>2</v>
      </c>
      <c r="I9" s="12">
        <v>1</v>
      </c>
      <c r="J9" s="12">
        <v>12742</v>
      </c>
      <c r="K9" s="12">
        <v>0</v>
      </c>
      <c r="L9" s="12">
        <v>1</v>
      </c>
      <c r="M9" s="12" t="s">
        <v>145</v>
      </c>
    </row>
    <row r="10" spans="1:13" s="14" customFormat="1" ht="25.05" customHeight="1">
      <c r="A10" s="12">
        <v>1</v>
      </c>
      <c r="B10" s="12" t="s">
        <v>146</v>
      </c>
      <c r="C10" s="12" t="s">
        <v>147</v>
      </c>
      <c r="D10" s="12" t="s">
        <v>148</v>
      </c>
      <c r="E10" s="12" t="s">
        <v>137</v>
      </c>
      <c r="F10" s="12" t="s">
        <v>149</v>
      </c>
      <c r="G10" s="13">
        <v>144</v>
      </c>
      <c r="H10" s="12">
        <v>0</v>
      </c>
      <c r="I10" s="12">
        <v>0.39</v>
      </c>
      <c r="J10" s="12">
        <v>3474</v>
      </c>
      <c r="K10" s="12">
        <v>0</v>
      </c>
      <c r="L10" s="12">
        <v>1</v>
      </c>
      <c r="M10" s="12" t="s">
        <v>150</v>
      </c>
    </row>
    <row r="11" spans="1:13" s="14" customFormat="1" ht="25.05" customHeight="1">
      <c r="A11" s="12">
        <v>2</v>
      </c>
      <c r="B11" s="12" t="s">
        <v>132</v>
      </c>
      <c r="C11" s="12" t="s">
        <v>133</v>
      </c>
      <c r="D11" s="12" t="s">
        <v>134</v>
      </c>
      <c r="E11" s="12"/>
      <c r="F11" s="12" t="s">
        <v>135</v>
      </c>
      <c r="G11" s="13">
        <v>0</v>
      </c>
      <c r="H11" s="12">
        <v>0</v>
      </c>
      <c r="I11" s="12">
        <v>0</v>
      </c>
      <c r="J11" s="12">
        <v>1392700</v>
      </c>
      <c r="K11" s="12">
        <v>0</v>
      </c>
      <c r="L11" s="12">
        <v>1</v>
      </c>
      <c r="M11" s="12" t="s">
        <v>136</v>
      </c>
    </row>
    <row r="12" spans="1:13" s="14" customFormat="1" ht="25.05" customHeight="1">
      <c r="A12" s="12">
        <v>2</v>
      </c>
      <c r="B12" s="12" t="s">
        <v>137</v>
      </c>
      <c r="C12" s="12" t="s">
        <v>138</v>
      </c>
      <c r="D12" s="12" t="s">
        <v>139</v>
      </c>
      <c r="E12" s="12" t="s">
        <v>132</v>
      </c>
      <c r="F12" s="12" t="s">
        <v>149</v>
      </c>
      <c r="G12" s="13">
        <v>180</v>
      </c>
      <c r="H12" s="12">
        <v>0</v>
      </c>
      <c r="I12" s="12">
        <v>0.39</v>
      </c>
      <c r="J12" s="12">
        <v>4879</v>
      </c>
      <c r="K12" s="12">
        <v>0</v>
      </c>
      <c r="L12" s="12">
        <v>1</v>
      </c>
      <c r="M12" s="12" t="s">
        <v>140</v>
      </c>
    </row>
    <row r="13" spans="1:13" s="14" customFormat="1" ht="25.05" customHeight="1">
      <c r="A13" s="12">
        <v>2</v>
      </c>
      <c r="B13" s="12" t="s">
        <v>141</v>
      </c>
      <c r="C13" s="12" t="s">
        <v>142</v>
      </c>
      <c r="D13" s="12" t="s">
        <v>139</v>
      </c>
      <c r="E13" s="12" t="s">
        <v>132</v>
      </c>
      <c r="F13" s="12" t="s">
        <v>149</v>
      </c>
      <c r="G13" s="13">
        <v>180</v>
      </c>
      <c r="H13" s="12">
        <v>1</v>
      </c>
      <c r="I13" s="12">
        <v>0.72</v>
      </c>
      <c r="J13" s="12">
        <v>12104</v>
      </c>
      <c r="K13" s="12">
        <v>0</v>
      </c>
      <c r="L13" s="12">
        <v>1</v>
      </c>
      <c r="M13" s="12" t="s">
        <v>143</v>
      </c>
    </row>
    <row r="14" spans="1:13" s="14" customFormat="1" ht="25.05" customHeight="1">
      <c r="A14" s="12">
        <v>2</v>
      </c>
      <c r="B14" s="12" t="s">
        <v>58</v>
      </c>
      <c r="C14" s="12" t="s">
        <v>144</v>
      </c>
      <c r="D14" s="12" t="s">
        <v>139</v>
      </c>
      <c r="E14" s="12" t="s">
        <v>132</v>
      </c>
      <c r="F14" s="12" t="s">
        <v>149</v>
      </c>
      <c r="G14" s="13">
        <v>180</v>
      </c>
      <c r="H14" s="12">
        <v>2</v>
      </c>
      <c r="I14" s="12">
        <v>1</v>
      </c>
      <c r="J14" s="12">
        <v>12742</v>
      </c>
      <c r="K14" s="12">
        <v>0</v>
      </c>
      <c r="L14" s="12">
        <v>1</v>
      </c>
      <c r="M14" s="12" t="s">
        <v>145</v>
      </c>
    </row>
    <row r="15" spans="1:13" s="14" customFormat="1" ht="25.05" customHeight="1">
      <c r="A15" s="12">
        <v>2</v>
      </c>
      <c r="B15" s="12" t="s">
        <v>146</v>
      </c>
      <c r="C15" s="12" t="s">
        <v>147</v>
      </c>
      <c r="D15" s="12" t="s">
        <v>148</v>
      </c>
      <c r="E15" s="12" t="s">
        <v>137</v>
      </c>
      <c r="F15" s="12" t="s">
        <v>135</v>
      </c>
      <c r="G15" s="13">
        <v>0</v>
      </c>
      <c r="H15" s="12">
        <v>0</v>
      </c>
      <c r="I15" s="12">
        <v>0.39</v>
      </c>
      <c r="J15" s="12">
        <v>3474</v>
      </c>
      <c r="K15" s="12">
        <v>0</v>
      </c>
      <c r="L15" s="12">
        <v>1</v>
      </c>
      <c r="M15" s="12" t="s">
        <v>150</v>
      </c>
    </row>
    <row r="16" spans="1:13" s="14" customFormat="1" ht="25.05" customHeight="1">
      <c r="A16" s="12">
        <v>2</v>
      </c>
      <c r="B16" s="12" t="s">
        <v>151</v>
      </c>
      <c r="C16" s="12" t="s">
        <v>152</v>
      </c>
      <c r="D16" s="12" t="s">
        <v>148</v>
      </c>
      <c r="E16" s="12" t="s">
        <v>141</v>
      </c>
      <c r="F16" s="12" t="s">
        <v>135</v>
      </c>
      <c r="G16" s="13">
        <v>0</v>
      </c>
      <c r="H16" s="12">
        <v>1</v>
      </c>
      <c r="I16" s="12">
        <v>0.72</v>
      </c>
      <c r="J16" s="12">
        <v>22</v>
      </c>
      <c r="K16" s="12">
        <v>0</v>
      </c>
      <c r="L16" s="12">
        <v>1</v>
      </c>
      <c r="M16" s="12" t="s">
        <v>150</v>
      </c>
    </row>
    <row r="17" spans="1:13" s="14" customFormat="1" ht="25.05" customHeight="1">
      <c r="A17" s="12">
        <v>2</v>
      </c>
      <c r="B17" s="12" t="s">
        <v>153</v>
      </c>
      <c r="C17" s="12" t="s">
        <v>154</v>
      </c>
      <c r="D17" s="12" t="s">
        <v>148</v>
      </c>
      <c r="E17" s="12" t="s">
        <v>58</v>
      </c>
      <c r="F17" s="12" t="s">
        <v>135</v>
      </c>
      <c r="G17" s="13">
        <v>0</v>
      </c>
      <c r="H17" s="12">
        <v>2</v>
      </c>
      <c r="I17" s="12">
        <v>1</v>
      </c>
      <c r="J17" s="12">
        <v>12</v>
      </c>
      <c r="K17" s="12">
        <v>0</v>
      </c>
      <c r="L17" s="12">
        <v>1</v>
      </c>
      <c r="M17" s="12" t="s">
        <v>150</v>
      </c>
    </row>
    <row r="18" spans="1:13" s="14" customFormat="1" ht="25.05" customHeight="1">
      <c r="A18" s="12">
        <v>2</v>
      </c>
      <c r="B18" s="12" t="s">
        <v>155</v>
      </c>
      <c r="C18" s="12" t="s">
        <v>156</v>
      </c>
      <c r="D18" s="12" t="s">
        <v>157</v>
      </c>
      <c r="E18" s="12" t="s">
        <v>141</v>
      </c>
      <c r="F18" s="12" t="s">
        <v>135</v>
      </c>
      <c r="G18" s="13">
        <v>0</v>
      </c>
      <c r="H18" s="12">
        <v>0</v>
      </c>
      <c r="I18" s="12">
        <v>0.72</v>
      </c>
      <c r="J18" s="12">
        <v>12</v>
      </c>
      <c r="K18" s="12">
        <v>0</v>
      </c>
      <c r="L18" s="12">
        <v>1</v>
      </c>
      <c r="M18" s="12" t="s">
        <v>158</v>
      </c>
    </row>
    <row r="19" spans="1:13" s="14" customFormat="1" ht="25.05" customHeight="1">
      <c r="A19" s="12">
        <v>2</v>
      </c>
      <c r="B19" s="12" t="s">
        <v>159</v>
      </c>
      <c r="C19" s="12" t="s">
        <v>160</v>
      </c>
      <c r="D19" s="12" t="s">
        <v>157</v>
      </c>
      <c r="E19" s="12" t="s">
        <v>58</v>
      </c>
      <c r="F19" s="12" t="s">
        <v>135</v>
      </c>
      <c r="G19" s="13">
        <v>0</v>
      </c>
      <c r="H19" s="12">
        <v>1</v>
      </c>
      <c r="I19" s="12">
        <v>1</v>
      </c>
      <c r="J19" s="12">
        <v>12</v>
      </c>
      <c r="K19" s="12">
        <v>0</v>
      </c>
      <c r="L19" s="12">
        <v>1</v>
      </c>
      <c r="M19" s="12" t="s">
        <v>158</v>
      </c>
    </row>
    <row r="20" spans="1:13" s="14" customFormat="1" ht="25.05" customHeight="1">
      <c r="A20" s="12">
        <v>3</v>
      </c>
      <c r="B20" s="12" t="s">
        <v>132</v>
      </c>
      <c r="C20" s="12" t="s">
        <v>133</v>
      </c>
      <c r="D20" s="12" t="s">
        <v>134</v>
      </c>
      <c r="E20" s="12"/>
      <c r="F20" s="12" t="s">
        <v>135</v>
      </c>
      <c r="G20" s="13">
        <v>0</v>
      </c>
      <c r="H20" s="12">
        <v>0</v>
      </c>
      <c r="I20" s="12">
        <v>0</v>
      </c>
      <c r="J20" s="12">
        <v>1392700</v>
      </c>
      <c r="K20" s="12">
        <v>0</v>
      </c>
      <c r="L20" s="12">
        <v>1</v>
      </c>
      <c r="M20" s="12" t="s">
        <v>136</v>
      </c>
    </row>
    <row r="21" spans="1:13" s="14" customFormat="1" ht="25.05" customHeight="1">
      <c r="A21" s="12">
        <v>3</v>
      </c>
      <c r="B21" s="12" t="s">
        <v>137</v>
      </c>
      <c r="C21" s="12" t="s">
        <v>138</v>
      </c>
      <c r="D21" s="12" t="s">
        <v>139</v>
      </c>
      <c r="E21" s="12" t="s">
        <v>132</v>
      </c>
      <c r="F21" s="12" t="s">
        <v>135</v>
      </c>
      <c r="G21" s="13">
        <v>0</v>
      </c>
      <c r="H21" s="12">
        <v>0</v>
      </c>
      <c r="I21" s="12">
        <v>0.39</v>
      </c>
      <c r="J21" s="12">
        <v>4879</v>
      </c>
      <c r="K21" s="12">
        <v>0</v>
      </c>
      <c r="L21" s="12">
        <v>1</v>
      </c>
      <c r="M21" s="12" t="s">
        <v>140</v>
      </c>
    </row>
    <row r="22" spans="1:13" s="14" customFormat="1" ht="25.05" customHeight="1">
      <c r="A22" s="12">
        <v>3</v>
      </c>
      <c r="B22" s="12" t="s">
        <v>141</v>
      </c>
      <c r="C22" s="12" t="s">
        <v>142</v>
      </c>
      <c r="D22" s="12" t="s">
        <v>139</v>
      </c>
      <c r="E22" s="12" t="s">
        <v>132</v>
      </c>
      <c r="F22" s="12" t="s">
        <v>135</v>
      </c>
      <c r="G22" s="13">
        <v>0</v>
      </c>
      <c r="H22" s="12">
        <v>1</v>
      </c>
      <c r="I22" s="12">
        <v>0.72</v>
      </c>
      <c r="J22" s="12">
        <v>12104</v>
      </c>
      <c r="K22" s="12">
        <v>0</v>
      </c>
      <c r="L22" s="12">
        <v>1</v>
      </c>
      <c r="M22" s="12" t="s">
        <v>143</v>
      </c>
    </row>
    <row r="23" spans="1:13" s="14" customFormat="1" ht="25.05" customHeight="1">
      <c r="A23" s="12">
        <v>3</v>
      </c>
      <c r="B23" s="12" t="s">
        <v>58</v>
      </c>
      <c r="C23" s="12" t="s">
        <v>144</v>
      </c>
      <c r="D23" s="12" t="s">
        <v>139</v>
      </c>
      <c r="E23" s="12" t="s">
        <v>132</v>
      </c>
      <c r="F23" s="12" t="s">
        <v>161</v>
      </c>
      <c r="G23" s="13">
        <v>1050</v>
      </c>
      <c r="H23" s="12">
        <v>2</v>
      </c>
      <c r="I23" s="12">
        <v>1</v>
      </c>
      <c r="J23" s="12">
        <v>12742</v>
      </c>
      <c r="K23" s="12">
        <v>2E-3</v>
      </c>
      <c r="L23" s="12">
        <v>2</v>
      </c>
      <c r="M23" s="12" t="s">
        <v>145</v>
      </c>
    </row>
    <row r="24" spans="1:13" s="14" customFormat="1" ht="25.05" customHeight="1">
      <c r="A24" s="12">
        <v>3</v>
      </c>
      <c r="B24" s="12" t="s">
        <v>162</v>
      </c>
      <c r="C24" s="12" t="s">
        <v>163</v>
      </c>
      <c r="D24" s="12" t="s">
        <v>139</v>
      </c>
      <c r="E24" s="12" t="s">
        <v>132</v>
      </c>
      <c r="F24" s="12" t="s">
        <v>135</v>
      </c>
      <c r="G24" s="13">
        <v>0</v>
      </c>
      <c r="H24" s="12">
        <v>3</v>
      </c>
      <c r="I24" s="12">
        <v>1.52</v>
      </c>
      <c r="J24" s="12">
        <v>6779</v>
      </c>
      <c r="K24" s="12">
        <v>0</v>
      </c>
      <c r="L24" s="12">
        <v>1</v>
      </c>
      <c r="M24" s="12" t="s">
        <v>164</v>
      </c>
    </row>
    <row r="25" spans="1:13" s="14" customFormat="1" ht="25.05" customHeight="1">
      <c r="A25" s="12">
        <v>3</v>
      </c>
      <c r="B25" s="12" t="s">
        <v>165</v>
      </c>
      <c r="C25" s="12" t="s">
        <v>166</v>
      </c>
      <c r="D25" s="12" t="s">
        <v>139</v>
      </c>
      <c r="E25" s="12" t="s">
        <v>132</v>
      </c>
      <c r="F25" s="12" t="s">
        <v>135</v>
      </c>
      <c r="G25" s="13">
        <v>0</v>
      </c>
      <c r="H25" s="12">
        <v>4</v>
      </c>
      <c r="I25" s="12">
        <v>5.2</v>
      </c>
      <c r="J25" s="12">
        <v>139820</v>
      </c>
      <c r="K25" s="12">
        <v>0</v>
      </c>
      <c r="L25" s="12">
        <v>1</v>
      </c>
      <c r="M25" s="12" t="s">
        <v>167</v>
      </c>
    </row>
    <row r="26" spans="1:13" s="14" customFormat="1" ht="25.05" customHeight="1">
      <c r="A26" s="12">
        <v>3</v>
      </c>
      <c r="B26" s="12" t="s">
        <v>146</v>
      </c>
      <c r="C26" s="12" t="s">
        <v>147</v>
      </c>
      <c r="D26" s="12" t="s">
        <v>148</v>
      </c>
      <c r="E26" s="12" t="s">
        <v>137</v>
      </c>
      <c r="F26" s="12" t="s">
        <v>135</v>
      </c>
      <c r="G26" s="13">
        <v>0</v>
      </c>
      <c r="H26" s="12">
        <v>0</v>
      </c>
      <c r="I26" s="12">
        <v>0.39</v>
      </c>
      <c r="J26" s="12">
        <v>3474</v>
      </c>
      <c r="K26" s="12">
        <v>0</v>
      </c>
      <c r="L26" s="12">
        <v>1</v>
      </c>
      <c r="M26" s="12" t="s">
        <v>150</v>
      </c>
    </row>
    <row r="27" spans="1:13" s="14" customFormat="1" ht="25.05" customHeight="1">
      <c r="A27" s="12">
        <v>3</v>
      </c>
      <c r="B27" s="12" t="s">
        <v>151</v>
      </c>
      <c r="C27" s="12" t="s">
        <v>152</v>
      </c>
      <c r="D27" s="12" t="s">
        <v>148</v>
      </c>
      <c r="E27" s="12" t="s">
        <v>141</v>
      </c>
      <c r="F27" s="12" t="s">
        <v>135</v>
      </c>
      <c r="G27" s="13">
        <v>0</v>
      </c>
      <c r="H27" s="12">
        <v>1</v>
      </c>
      <c r="I27" s="12">
        <v>0.72</v>
      </c>
      <c r="J27" s="12">
        <v>22</v>
      </c>
      <c r="K27" s="12">
        <v>0</v>
      </c>
      <c r="L27" s="12">
        <v>1</v>
      </c>
      <c r="M27" s="12" t="s">
        <v>150</v>
      </c>
    </row>
    <row r="28" spans="1:13" s="14" customFormat="1" ht="25.05" customHeight="1">
      <c r="A28" s="12">
        <v>3</v>
      </c>
      <c r="B28" s="12" t="s">
        <v>153</v>
      </c>
      <c r="C28" s="12" t="s">
        <v>154</v>
      </c>
      <c r="D28" s="12" t="s">
        <v>148</v>
      </c>
      <c r="E28" s="12" t="s">
        <v>58</v>
      </c>
      <c r="F28" s="12" t="s">
        <v>135</v>
      </c>
      <c r="G28" s="13">
        <v>0</v>
      </c>
      <c r="H28" s="12">
        <v>2</v>
      </c>
      <c r="I28" s="12">
        <v>1</v>
      </c>
      <c r="J28" s="12">
        <v>12</v>
      </c>
      <c r="K28" s="12">
        <v>0</v>
      </c>
      <c r="L28" s="12">
        <v>1</v>
      </c>
      <c r="M28" s="12" t="s">
        <v>150</v>
      </c>
    </row>
    <row r="29" spans="1:13" s="14" customFormat="1" ht="25.05" customHeight="1">
      <c r="A29" s="12">
        <v>3</v>
      </c>
      <c r="B29" s="12" t="s">
        <v>168</v>
      </c>
      <c r="C29" s="12" t="s">
        <v>169</v>
      </c>
      <c r="D29" s="12" t="s">
        <v>148</v>
      </c>
      <c r="E29" s="12" t="s">
        <v>162</v>
      </c>
      <c r="F29" s="12" t="s">
        <v>135</v>
      </c>
      <c r="G29" s="13">
        <v>0</v>
      </c>
      <c r="H29" s="12">
        <v>3</v>
      </c>
      <c r="I29" s="12">
        <v>1.52</v>
      </c>
      <c r="J29" s="12">
        <v>3643</v>
      </c>
      <c r="K29" s="12">
        <v>0</v>
      </c>
      <c r="L29" s="12">
        <v>1</v>
      </c>
      <c r="M29" s="12" t="s">
        <v>150</v>
      </c>
    </row>
    <row r="30" spans="1:13" s="14" customFormat="1" ht="25.05" customHeight="1">
      <c r="A30" s="12">
        <v>3</v>
      </c>
      <c r="B30" s="12" t="s">
        <v>170</v>
      </c>
      <c r="C30" s="12" t="s">
        <v>171</v>
      </c>
      <c r="D30" s="12" t="s">
        <v>148</v>
      </c>
      <c r="E30" s="12" t="s">
        <v>165</v>
      </c>
      <c r="F30" s="12" t="s">
        <v>135</v>
      </c>
      <c r="G30" s="13">
        <v>0</v>
      </c>
      <c r="H30" s="12">
        <v>4</v>
      </c>
      <c r="I30" s="12">
        <v>5.2</v>
      </c>
      <c r="J30" s="12">
        <v>3122</v>
      </c>
      <c r="K30" s="12">
        <v>0</v>
      </c>
      <c r="L30" s="12">
        <v>1</v>
      </c>
      <c r="M30" s="12" t="s">
        <v>150</v>
      </c>
    </row>
    <row r="31" spans="1:13" s="14" customFormat="1" ht="25.05" customHeight="1">
      <c r="A31" s="12">
        <v>3</v>
      </c>
      <c r="B31" s="12" t="s">
        <v>155</v>
      </c>
      <c r="C31" s="12" t="s">
        <v>156</v>
      </c>
      <c r="D31" s="12" t="s">
        <v>157</v>
      </c>
      <c r="E31" s="12" t="s">
        <v>141</v>
      </c>
      <c r="F31" s="12" t="s">
        <v>135</v>
      </c>
      <c r="G31" s="13">
        <v>0</v>
      </c>
      <c r="H31" s="12">
        <v>0</v>
      </c>
      <c r="I31" s="12">
        <v>0.72</v>
      </c>
      <c r="J31" s="12">
        <v>12</v>
      </c>
      <c r="K31" s="12">
        <v>0</v>
      </c>
      <c r="L31" s="12">
        <v>1</v>
      </c>
      <c r="M31" s="12" t="s">
        <v>158</v>
      </c>
    </row>
    <row r="32" spans="1:13" s="14" customFormat="1" ht="25.05" customHeight="1">
      <c r="A32" s="12">
        <v>3</v>
      </c>
      <c r="B32" s="12" t="s">
        <v>159</v>
      </c>
      <c r="C32" s="12" t="s">
        <v>160</v>
      </c>
      <c r="D32" s="12" t="s">
        <v>157</v>
      </c>
      <c r="E32" s="12" t="s">
        <v>58</v>
      </c>
      <c r="F32" s="12" t="s">
        <v>135</v>
      </c>
      <c r="G32" s="13">
        <v>0</v>
      </c>
      <c r="H32" s="12">
        <v>1</v>
      </c>
      <c r="I32" s="12">
        <v>1</v>
      </c>
      <c r="J32" s="12">
        <v>12</v>
      </c>
      <c r="K32" s="12">
        <v>0</v>
      </c>
      <c r="L32" s="12">
        <v>1</v>
      </c>
      <c r="M32" s="12" t="s">
        <v>158</v>
      </c>
    </row>
    <row r="33" spans="1:13" s="14" customFormat="1" ht="25.05" customHeight="1">
      <c r="A33" s="12">
        <v>3</v>
      </c>
      <c r="B33" s="12" t="s">
        <v>172</v>
      </c>
      <c r="C33" s="12" t="s">
        <v>173</v>
      </c>
      <c r="D33" s="12" t="s">
        <v>157</v>
      </c>
      <c r="E33" s="12" t="s">
        <v>162</v>
      </c>
      <c r="F33" s="12" t="s">
        <v>135</v>
      </c>
      <c r="G33" s="13">
        <v>0</v>
      </c>
      <c r="H33" s="12">
        <v>2</v>
      </c>
      <c r="I33" s="12">
        <v>1.52</v>
      </c>
      <c r="J33" s="12">
        <v>12</v>
      </c>
      <c r="K33" s="12">
        <v>0</v>
      </c>
      <c r="L33" s="12">
        <v>1</v>
      </c>
      <c r="M33" s="12" t="s">
        <v>158</v>
      </c>
    </row>
    <row r="34" spans="1:13" s="14" customFormat="1" ht="25.05" customHeight="1">
      <c r="A34" s="12">
        <v>4</v>
      </c>
      <c r="B34" s="12" t="s">
        <v>132</v>
      </c>
      <c r="C34" s="12" t="s">
        <v>174</v>
      </c>
      <c r="D34" s="12" t="s">
        <v>134</v>
      </c>
      <c r="E34" s="12"/>
      <c r="F34" s="12" t="s">
        <v>135</v>
      </c>
      <c r="G34" s="13">
        <v>0</v>
      </c>
      <c r="H34" s="12">
        <v>0</v>
      </c>
      <c r="I34" s="12">
        <v>0</v>
      </c>
      <c r="J34" s="12">
        <v>1392700</v>
      </c>
      <c r="K34" s="12">
        <v>0</v>
      </c>
      <c r="L34" s="12">
        <v>1</v>
      </c>
      <c r="M34" s="12" t="s">
        <v>136</v>
      </c>
    </row>
    <row r="35" spans="1:13" s="14" customFormat="1" ht="25.05" customHeight="1">
      <c r="A35" s="12">
        <v>4</v>
      </c>
      <c r="B35" s="12" t="s">
        <v>137</v>
      </c>
      <c r="C35" s="12" t="s">
        <v>175</v>
      </c>
      <c r="D35" s="12" t="s">
        <v>139</v>
      </c>
      <c r="E35" s="12" t="s">
        <v>132</v>
      </c>
      <c r="F35" s="12" t="s">
        <v>135</v>
      </c>
      <c r="G35" s="13">
        <v>0</v>
      </c>
      <c r="H35" s="12">
        <v>0</v>
      </c>
      <c r="I35" s="12">
        <v>0.39</v>
      </c>
      <c r="J35" s="12">
        <v>4879</v>
      </c>
      <c r="K35" s="12">
        <v>0</v>
      </c>
      <c r="L35" s="12">
        <v>1</v>
      </c>
      <c r="M35" s="12" t="s">
        <v>140</v>
      </c>
    </row>
    <row r="36" spans="1:13" s="14" customFormat="1" ht="25.05" customHeight="1">
      <c r="A36" s="12">
        <v>4</v>
      </c>
      <c r="B36" s="12" t="s">
        <v>141</v>
      </c>
      <c r="C36" s="12" t="s">
        <v>176</v>
      </c>
      <c r="D36" s="12" t="s">
        <v>139</v>
      </c>
      <c r="E36" s="12" t="s">
        <v>132</v>
      </c>
      <c r="F36" s="12" t="s">
        <v>135</v>
      </c>
      <c r="G36" s="13">
        <v>0</v>
      </c>
      <c r="H36" s="12">
        <v>1</v>
      </c>
      <c r="I36" s="12">
        <v>0.72</v>
      </c>
      <c r="J36" s="12">
        <v>12104</v>
      </c>
      <c r="K36" s="12">
        <v>0</v>
      </c>
      <c r="L36" s="12">
        <v>1</v>
      </c>
      <c r="M36" s="12" t="s">
        <v>143</v>
      </c>
    </row>
    <row r="37" spans="1:13" s="14" customFormat="1" ht="25.05" customHeight="1">
      <c r="A37" s="12">
        <v>4</v>
      </c>
      <c r="B37" s="12" t="s">
        <v>58</v>
      </c>
      <c r="C37" s="12" t="s">
        <v>177</v>
      </c>
      <c r="D37" s="12" t="s">
        <v>139</v>
      </c>
      <c r="E37" s="12" t="s">
        <v>132</v>
      </c>
      <c r="F37" s="12" t="s">
        <v>149</v>
      </c>
      <c r="G37" s="13">
        <v>1535.9999999999998</v>
      </c>
      <c r="H37" s="12">
        <v>2</v>
      </c>
      <c r="I37" s="12">
        <v>1</v>
      </c>
      <c r="J37" s="12">
        <v>12742</v>
      </c>
      <c r="K37" s="12">
        <v>0</v>
      </c>
      <c r="L37" s="12">
        <v>1</v>
      </c>
      <c r="M37" s="12" t="s">
        <v>145</v>
      </c>
    </row>
    <row r="38" spans="1:13" s="14" customFormat="1" ht="25.05" customHeight="1">
      <c r="A38" s="12">
        <v>4</v>
      </c>
      <c r="B38" s="12" t="s">
        <v>162</v>
      </c>
      <c r="C38" s="12" t="s">
        <v>178</v>
      </c>
      <c r="D38" s="12" t="s">
        <v>139</v>
      </c>
      <c r="E38" s="12" t="s">
        <v>132</v>
      </c>
      <c r="F38" s="12" t="s">
        <v>135</v>
      </c>
      <c r="G38" s="13">
        <v>0</v>
      </c>
      <c r="H38" s="12">
        <v>3</v>
      </c>
      <c r="I38" s="12">
        <v>1.52</v>
      </c>
      <c r="J38" s="12">
        <v>6779</v>
      </c>
      <c r="K38" s="12">
        <v>0</v>
      </c>
      <c r="L38" s="12">
        <v>1</v>
      </c>
      <c r="M38" s="12" t="s">
        <v>164</v>
      </c>
    </row>
    <row r="39" spans="1:13" s="14" customFormat="1" ht="25.05" customHeight="1">
      <c r="A39" s="12">
        <v>4</v>
      </c>
      <c r="B39" s="12" t="s">
        <v>165</v>
      </c>
      <c r="C39" s="12" t="s">
        <v>179</v>
      </c>
      <c r="D39" s="12" t="s">
        <v>139</v>
      </c>
      <c r="E39" s="12" t="s">
        <v>132</v>
      </c>
      <c r="F39" s="12" t="s">
        <v>135</v>
      </c>
      <c r="G39" s="13">
        <v>0</v>
      </c>
      <c r="H39" s="12">
        <v>4</v>
      </c>
      <c r="I39" s="12">
        <v>5.2</v>
      </c>
      <c r="J39" s="12">
        <v>139820</v>
      </c>
      <c r="K39" s="12">
        <v>0</v>
      </c>
      <c r="L39" s="12">
        <v>1</v>
      </c>
      <c r="M39" s="12" t="s">
        <v>167</v>
      </c>
    </row>
    <row r="40" spans="1:13" s="14" customFormat="1" ht="25.05" customHeight="1">
      <c r="A40" s="12">
        <v>4</v>
      </c>
      <c r="B40" s="12" t="s">
        <v>180</v>
      </c>
      <c r="C40" s="12" t="s">
        <v>181</v>
      </c>
      <c r="D40" s="12" t="s">
        <v>139</v>
      </c>
      <c r="E40" s="12" t="s">
        <v>132</v>
      </c>
      <c r="F40" s="12" t="s">
        <v>135</v>
      </c>
      <c r="G40" s="13">
        <v>0</v>
      </c>
      <c r="H40" s="12">
        <v>5</v>
      </c>
      <c r="I40" s="12">
        <v>9.58</v>
      </c>
      <c r="J40" s="12">
        <v>116460</v>
      </c>
      <c r="K40" s="12">
        <v>0</v>
      </c>
      <c r="L40" s="12">
        <v>1</v>
      </c>
      <c r="M40" s="12" t="s">
        <v>182</v>
      </c>
    </row>
    <row r="41" spans="1:13" s="14" customFormat="1" ht="25.05" customHeight="1">
      <c r="A41" s="12">
        <v>4</v>
      </c>
      <c r="B41" s="12" t="s">
        <v>183</v>
      </c>
      <c r="C41" s="12" t="s">
        <v>184</v>
      </c>
      <c r="D41" s="12" t="s">
        <v>139</v>
      </c>
      <c r="E41" s="12" t="s">
        <v>132</v>
      </c>
      <c r="F41" s="12" t="s">
        <v>135</v>
      </c>
      <c r="G41" s="13">
        <v>0</v>
      </c>
      <c r="H41" s="12">
        <v>6</v>
      </c>
      <c r="I41" s="12">
        <v>19.2</v>
      </c>
      <c r="J41" s="12">
        <v>50724</v>
      </c>
      <c r="K41" s="12">
        <v>0</v>
      </c>
      <c r="L41" s="12">
        <v>1</v>
      </c>
      <c r="M41" s="12" t="s">
        <v>185</v>
      </c>
    </row>
    <row r="42" spans="1:13" s="14" customFormat="1" ht="25.05" customHeight="1">
      <c r="A42" s="12">
        <v>4</v>
      </c>
      <c r="B42" s="12" t="s">
        <v>186</v>
      </c>
      <c r="C42" s="12" t="s">
        <v>187</v>
      </c>
      <c r="D42" s="12" t="s">
        <v>139</v>
      </c>
      <c r="E42" s="12" t="s">
        <v>132</v>
      </c>
      <c r="F42" s="12" t="s">
        <v>135</v>
      </c>
      <c r="G42" s="13">
        <v>0</v>
      </c>
      <c r="H42" s="12">
        <v>7</v>
      </c>
      <c r="I42" s="12">
        <v>30.05</v>
      </c>
      <c r="J42" s="12">
        <v>49244</v>
      </c>
      <c r="K42" s="12">
        <v>0</v>
      </c>
      <c r="L42" s="12">
        <v>1</v>
      </c>
      <c r="M42" s="12" t="s">
        <v>188</v>
      </c>
    </row>
    <row r="43" spans="1:13" s="14" customFormat="1" ht="25.05" customHeight="1">
      <c r="A43" s="12">
        <v>4</v>
      </c>
      <c r="B43" s="12" t="s">
        <v>146</v>
      </c>
      <c r="C43" s="12" t="s">
        <v>189</v>
      </c>
      <c r="D43" s="12" t="s">
        <v>148</v>
      </c>
      <c r="E43" s="12" t="s">
        <v>58</v>
      </c>
      <c r="F43" s="12" t="s">
        <v>149</v>
      </c>
      <c r="G43" s="13">
        <v>114</v>
      </c>
      <c r="H43" s="12">
        <v>0</v>
      </c>
      <c r="I43" s="12">
        <v>1</v>
      </c>
      <c r="J43" s="12">
        <v>3474</v>
      </c>
      <c r="K43" s="12">
        <v>0</v>
      </c>
      <c r="L43" s="12">
        <v>1</v>
      </c>
      <c r="M43" s="12" t="s">
        <v>150</v>
      </c>
    </row>
    <row r="44" spans="1:13" s="14" customFormat="1" ht="25.05" customHeight="1">
      <c r="A44" s="12">
        <v>4</v>
      </c>
      <c r="B44" s="12" t="s">
        <v>151</v>
      </c>
      <c r="C44" s="12" t="s">
        <v>190</v>
      </c>
      <c r="D44" s="12" t="s">
        <v>148</v>
      </c>
      <c r="E44" s="12" t="s">
        <v>162</v>
      </c>
      <c r="F44" s="12" t="s">
        <v>135</v>
      </c>
      <c r="G44" s="13">
        <v>0</v>
      </c>
      <c r="H44" s="12">
        <v>1</v>
      </c>
      <c r="I44" s="12">
        <v>1.52</v>
      </c>
      <c r="J44" s="12">
        <v>22</v>
      </c>
      <c r="K44" s="12">
        <v>0</v>
      </c>
      <c r="L44" s="12">
        <v>1</v>
      </c>
      <c r="M44" s="12" t="s">
        <v>150</v>
      </c>
    </row>
    <row r="45" spans="1:13" s="14" customFormat="1" ht="25.05" customHeight="1">
      <c r="A45" s="12">
        <v>4</v>
      </c>
      <c r="B45" s="12" t="s">
        <v>153</v>
      </c>
      <c r="C45" s="12" t="s">
        <v>191</v>
      </c>
      <c r="D45" s="12" t="s">
        <v>148</v>
      </c>
      <c r="E45" s="12" t="s">
        <v>162</v>
      </c>
      <c r="F45" s="12" t="s">
        <v>135</v>
      </c>
      <c r="G45" s="13">
        <v>0</v>
      </c>
      <c r="H45" s="12">
        <v>2</v>
      </c>
      <c r="I45" s="12">
        <v>1.52</v>
      </c>
      <c r="J45" s="12">
        <v>12</v>
      </c>
      <c r="K45" s="12">
        <v>0</v>
      </c>
      <c r="L45" s="12">
        <v>1</v>
      </c>
      <c r="M45" s="12" t="s">
        <v>150</v>
      </c>
    </row>
    <row r="46" spans="1:13" s="14" customFormat="1" ht="25.05" customHeight="1">
      <c r="A46" s="12">
        <v>4</v>
      </c>
      <c r="B46" s="12" t="s">
        <v>168</v>
      </c>
      <c r="C46" s="12" t="s">
        <v>192</v>
      </c>
      <c r="D46" s="12" t="s">
        <v>148</v>
      </c>
      <c r="E46" s="12" t="s">
        <v>165</v>
      </c>
      <c r="F46" s="12" t="s">
        <v>135</v>
      </c>
      <c r="G46" s="13">
        <v>0</v>
      </c>
      <c r="H46" s="12">
        <v>3</v>
      </c>
      <c r="I46" s="12">
        <v>5.2</v>
      </c>
      <c r="J46" s="12">
        <v>3643</v>
      </c>
      <c r="K46" s="12">
        <v>0</v>
      </c>
      <c r="L46" s="12">
        <v>1</v>
      </c>
      <c r="M46" s="12" t="s">
        <v>150</v>
      </c>
    </row>
    <row r="47" spans="1:13" s="14" customFormat="1" ht="25.05" customHeight="1">
      <c r="A47" s="12">
        <v>4</v>
      </c>
      <c r="B47" s="12" t="s">
        <v>170</v>
      </c>
      <c r="C47" s="12" t="s">
        <v>193</v>
      </c>
      <c r="D47" s="12" t="s">
        <v>148</v>
      </c>
      <c r="E47" s="12" t="s">
        <v>165</v>
      </c>
      <c r="F47" s="12" t="s">
        <v>135</v>
      </c>
      <c r="G47" s="13">
        <v>0</v>
      </c>
      <c r="H47" s="12">
        <v>4</v>
      </c>
      <c r="I47" s="12">
        <v>5.2</v>
      </c>
      <c r="J47" s="12">
        <v>3122</v>
      </c>
      <c r="K47" s="12">
        <v>0</v>
      </c>
      <c r="L47" s="12">
        <v>1</v>
      </c>
      <c r="M47" s="12" t="s">
        <v>150</v>
      </c>
    </row>
    <row r="48" spans="1:13" s="14" customFormat="1" ht="25.05" customHeight="1">
      <c r="A48" s="12">
        <v>4</v>
      </c>
      <c r="B48" s="12" t="s">
        <v>194</v>
      </c>
      <c r="C48" s="12" t="s">
        <v>195</v>
      </c>
      <c r="D48" s="12" t="s">
        <v>148</v>
      </c>
      <c r="E48" s="12" t="s">
        <v>165</v>
      </c>
      <c r="F48" s="12" t="s">
        <v>135</v>
      </c>
      <c r="G48" s="13">
        <v>0</v>
      </c>
      <c r="H48" s="12">
        <v>5</v>
      </c>
      <c r="I48" s="12">
        <v>5.2</v>
      </c>
      <c r="J48" s="12">
        <v>5268</v>
      </c>
      <c r="K48" s="12">
        <v>0</v>
      </c>
      <c r="L48" s="12">
        <v>1</v>
      </c>
      <c r="M48" s="12" t="s">
        <v>150</v>
      </c>
    </row>
    <row r="49" spans="1:13" s="14" customFormat="1" ht="25.05" customHeight="1">
      <c r="A49" s="12">
        <v>4</v>
      </c>
      <c r="B49" s="12" t="s">
        <v>196</v>
      </c>
      <c r="C49" s="12" t="s">
        <v>197</v>
      </c>
      <c r="D49" s="12" t="s">
        <v>148</v>
      </c>
      <c r="E49" s="12" t="s">
        <v>165</v>
      </c>
      <c r="F49" s="12" t="s">
        <v>135</v>
      </c>
      <c r="G49" s="13">
        <v>0</v>
      </c>
      <c r="H49" s="12">
        <v>6</v>
      </c>
      <c r="I49" s="12">
        <v>5.2</v>
      </c>
      <c r="J49" s="12">
        <v>4821</v>
      </c>
      <c r="K49" s="12">
        <v>0</v>
      </c>
      <c r="L49" s="12">
        <v>1</v>
      </c>
      <c r="M49" s="12" t="s">
        <v>150</v>
      </c>
    </row>
    <row r="50" spans="1:13" s="14" customFormat="1" ht="25.05" customHeight="1">
      <c r="A50" s="12">
        <v>4</v>
      </c>
      <c r="B50" s="12" t="s">
        <v>198</v>
      </c>
      <c r="C50" s="12" t="s">
        <v>199</v>
      </c>
      <c r="D50" s="12" t="s">
        <v>148</v>
      </c>
      <c r="E50" s="12" t="s">
        <v>180</v>
      </c>
      <c r="F50" s="12" t="s">
        <v>135</v>
      </c>
      <c r="G50" s="13">
        <v>0</v>
      </c>
      <c r="H50" s="12">
        <v>7</v>
      </c>
      <c r="I50" s="12">
        <v>9.58</v>
      </c>
      <c r="J50" s="12">
        <v>5150</v>
      </c>
      <c r="K50" s="12">
        <v>0</v>
      </c>
      <c r="L50" s="12">
        <v>1</v>
      </c>
      <c r="M50" s="12" t="s">
        <v>150</v>
      </c>
    </row>
    <row r="51" spans="1:13" s="14" customFormat="1" ht="25.05" customHeight="1">
      <c r="A51" s="12">
        <v>4</v>
      </c>
      <c r="B51" s="12" t="s">
        <v>200</v>
      </c>
      <c r="C51" s="12" t="s">
        <v>201</v>
      </c>
      <c r="D51" s="12" t="s">
        <v>148</v>
      </c>
      <c r="E51" s="12" t="s">
        <v>180</v>
      </c>
      <c r="F51" s="12" t="s">
        <v>135</v>
      </c>
      <c r="G51" s="13">
        <v>0</v>
      </c>
      <c r="H51" s="12">
        <v>8</v>
      </c>
      <c r="I51" s="12">
        <v>9.58</v>
      </c>
      <c r="J51" s="12">
        <v>504</v>
      </c>
      <c r="K51" s="12">
        <v>0</v>
      </c>
      <c r="L51" s="12">
        <v>1</v>
      </c>
      <c r="M51" s="12" t="s">
        <v>150</v>
      </c>
    </row>
    <row r="52" spans="1:13" s="14" customFormat="1" ht="25.05" customHeight="1">
      <c r="A52" s="12">
        <v>4</v>
      </c>
      <c r="B52" s="12" t="s">
        <v>202</v>
      </c>
      <c r="C52" s="12" t="s">
        <v>203</v>
      </c>
      <c r="D52" s="12" t="s">
        <v>148</v>
      </c>
      <c r="E52" s="12" t="s">
        <v>186</v>
      </c>
      <c r="F52" s="12" t="s">
        <v>135</v>
      </c>
      <c r="G52" s="13">
        <v>0</v>
      </c>
      <c r="H52" s="12">
        <v>9</v>
      </c>
      <c r="I52" s="12">
        <v>30.05</v>
      </c>
      <c r="J52" s="12">
        <v>2707</v>
      </c>
      <c r="K52" s="12">
        <v>0</v>
      </c>
      <c r="L52" s="12">
        <v>1</v>
      </c>
      <c r="M52" s="12" t="s">
        <v>150</v>
      </c>
    </row>
    <row r="53" spans="1:13" s="14" customFormat="1" ht="25.05" customHeight="1">
      <c r="A53" s="12">
        <v>4</v>
      </c>
      <c r="B53" s="12" t="s">
        <v>155</v>
      </c>
      <c r="C53" s="12" t="s">
        <v>204</v>
      </c>
      <c r="D53" s="12" t="s">
        <v>157</v>
      </c>
      <c r="E53" s="12" t="s">
        <v>58</v>
      </c>
      <c r="F53" s="12" t="s">
        <v>135</v>
      </c>
      <c r="G53" s="13">
        <v>0</v>
      </c>
      <c r="H53" s="12">
        <v>0</v>
      </c>
      <c r="I53" s="12">
        <v>1</v>
      </c>
      <c r="J53" s="12">
        <v>12</v>
      </c>
      <c r="K53" s="12">
        <v>0</v>
      </c>
      <c r="L53" s="12">
        <v>1</v>
      </c>
      <c r="M53" s="12" t="s">
        <v>158</v>
      </c>
    </row>
    <row r="54" spans="1:13" s="14" customFormat="1" ht="25.05" customHeight="1">
      <c r="A54" s="12">
        <v>4</v>
      </c>
      <c r="B54" s="12" t="s">
        <v>159</v>
      </c>
      <c r="C54" s="12" t="s">
        <v>205</v>
      </c>
      <c r="D54" s="12" t="s">
        <v>157</v>
      </c>
      <c r="E54" s="12" t="s">
        <v>165</v>
      </c>
      <c r="F54" s="12" t="s">
        <v>135</v>
      </c>
      <c r="G54" s="13">
        <v>0</v>
      </c>
      <c r="H54" s="12">
        <v>1</v>
      </c>
      <c r="I54" s="12">
        <v>5.2</v>
      </c>
      <c r="J54" s="12">
        <v>12</v>
      </c>
      <c r="K54" s="12">
        <v>0</v>
      </c>
      <c r="L54" s="12">
        <v>1</v>
      </c>
      <c r="M54" s="12" t="s">
        <v>158</v>
      </c>
    </row>
    <row r="55" spans="1:13" s="14" customFormat="1" ht="25.05" customHeight="1">
      <c r="A55" s="12">
        <v>4</v>
      </c>
      <c r="B55" s="12" t="s">
        <v>172</v>
      </c>
      <c r="C55" s="12" t="s">
        <v>206</v>
      </c>
      <c r="D55" s="12" t="s">
        <v>157</v>
      </c>
      <c r="E55" s="12" t="s">
        <v>180</v>
      </c>
      <c r="F55" s="12" t="s">
        <v>135</v>
      </c>
      <c r="G55" s="13">
        <v>0</v>
      </c>
      <c r="H55" s="12">
        <v>2</v>
      </c>
      <c r="I55" s="12">
        <v>9.58</v>
      </c>
      <c r="J55" s="12">
        <v>12</v>
      </c>
      <c r="K55" s="12">
        <v>0</v>
      </c>
      <c r="L55" s="12">
        <v>1</v>
      </c>
      <c r="M55" s="12" t="s">
        <v>158</v>
      </c>
    </row>
    <row r="56" spans="1:13" s="14" customFormat="1" ht="25.05" customHeight="1">
      <c r="A56" s="12">
        <v>5</v>
      </c>
      <c r="B56" s="12" t="s">
        <v>132</v>
      </c>
      <c r="C56" s="12" t="s">
        <v>133</v>
      </c>
      <c r="D56" s="12" t="s">
        <v>134</v>
      </c>
      <c r="E56" s="12"/>
      <c r="F56" s="12" t="s">
        <v>135</v>
      </c>
      <c r="G56" s="13">
        <v>0</v>
      </c>
      <c r="H56" s="12">
        <v>0</v>
      </c>
      <c r="I56" s="12">
        <v>0</v>
      </c>
      <c r="J56" s="12">
        <v>1392700</v>
      </c>
      <c r="K56" s="12">
        <v>0</v>
      </c>
      <c r="L56" s="12">
        <v>1</v>
      </c>
      <c r="M56" s="12" t="s">
        <v>136</v>
      </c>
    </row>
    <row r="57" spans="1:13" s="14" customFormat="1" ht="25.05" customHeight="1">
      <c r="A57" s="12">
        <v>5</v>
      </c>
      <c r="B57" s="12" t="s">
        <v>137</v>
      </c>
      <c r="C57" s="12" t="s">
        <v>138</v>
      </c>
      <c r="D57" s="12" t="s">
        <v>139</v>
      </c>
      <c r="E57" s="12" t="s">
        <v>132</v>
      </c>
      <c r="F57" s="12" t="s">
        <v>135</v>
      </c>
      <c r="G57" s="13">
        <v>0</v>
      </c>
      <c r="H57" s="12">
        <v>0</v>
      </c>
      <c r="I57" s="12">
        <v>0.39</v>
      </c>
      <c r="J57" s="12">
        <v>4879</v>
      </c>
      <c r="K57" s="12">
        <v>0</v>
      </c>
      <c r="L57" s="12">
        <v>1</v>
      </c>
      <c r="M57" s="12" t="s">
        <v>140</v>
      </c>
    </row>
    <row r="58" spans="1:13" s="14" customFormat="1" ht="25.05" customHeight="1">
      <c r="A58" s="12">
        <v>5</v>
      </c>
      <c r="B58" s="12" t="s">
        <v>141</v>
      </c>
      <c r="C58" s="12" t="s">
        <v>142</v>
      </c>
      <c r="D58" s="12" t="s">
        <v>139</v>
      </c>
      <c r="E58" s="12" t="s">
        <v>132</v>
      </c>
      <c r="F58" s="12" t="s">
        <v>135</v>
      </c>
      <c r="G58" s="13">
        <v>0</v>
      </c>
      <c r="H58" s="12">
        <v>1</v>
      </c>
      <c r="I58" s="12">
        <v>0.72</v>
      </c>
      <c r="J58" s="12">
        <v>12104</v>
      </c>
      <c r="K58" s="12">
        <v>0</v>
      </c>
      <c r="L58" s="12">
        <v>1</v>
      </c>
      <c r="M58" s="12" t="s">
        <v>143</v>
      </c>
    </row>
    <row r="59" spans="1:13" s="14" customFormat="1" ht="25.05" customHeight="1">
      <c r="A59" s="12">
        <v>5</v>
      </c>
      <c r="B59" s="12" t="s">
        <v>58</v>
      </c>
      <c r="C59" s="12" t="s">
        <v>144</v>
      </c>
      <c r="D59" s="12" t="s">
        <v>139</v>
      </c>
      <c r="E59" s="12" t="s">
        <v>132</v>
      </c>
      <c r="F59" s="12" t="s">
        <v>161</v>
      </c>
      <c r="G59" s="13">
        <v>2300</v>
      </c>
      <c r="H59" s="12">
        <v>2</v>
      </c>
      <c r="I59" s="12">
        <v>1</v>
      </c>
      <c r="J59" s="12">
        <v>12742</v>
      </c>
      <c r="K59" s="12">
        <v>3.0000000000000001E-3</v>
      </c>
      <c r="L59" s="12">
        <v>2.5</v>
      </c>
      <c r="M59" s="12" t="s">
        <v>145</v>
      </c>
    </row>
    <row r="60" spans="1:13" s="14" customFormat="1" ht="25.05" customHeight="1">
      <c r="A60" s="12">
        <v>5</v>
      </c>
      <c r="B60" s="12" t="s">
        <v>162</v>
      </c>
      <c r="C60" s="12" t="s">
        <v>163</v>
      </c>
      <c r="D60" s="12" t="s">
        <v>139</v>
      </c>
      <c r="E60" s="12" t="s">
        <v>132</v>
      </c>
      <c r="F60" s="12" t="s">
        <v>135</v>
      </c>
      <c r="G60" s="13">
        <v>0</v>
      </c>
      <c r="H60" s="12">
        <v>3</v>
      </c>
      <c r="I60" s="12">
        <v>1.52</v>
      </c>
      <c r="J60" s="12">
        <v>6779</v>
      </c>
      <c r="K60" s="12">
        <v>0</v>
      </c>
      <c r="L60" s="12">
        <v>1</v>
      </c>
      <c r="M60" s="12" t="s">
        <v>164</v>
      </c>
    </row>
    <row r="61" spans="1:13" s="14" customFormat="1" ht="25.05" customHeight="1">
      <c r="A61" s="12">
        <v>5</v>
      </c>
      <c r="B61" s="12" t="s">
        <v>165</v>
      </c>
      <c r="C61" s="12" t="s">
        <v>166</v>
      </c>
      <c r="D61" s="12" t="s">
        <v>139</v>
      </c>
      <c r="E61" s="12" t="s">
        <v>132</v>
      </c>
      <c r="F61" s="12" t="s">
        <v>135</v>
      </c>
      <c r="G61" s="13">
        <v>0</v>
      </c>
      <c r="H61" s="12">
        <v>4</v>
      </c>
      <c r="I61" s="12">
        <v>5.2</v>
      </c>
      <c r="J61" s="12">
        <v>139820</v>
      </c>
      <c r="K61" s="12">
        <v>0</v>
      </c>
      <c r="L61" s="12">
        <v>1</v>
      </c>
      <c r="M61" s="12" t="s">
        <v>167</v>
      </c>
    </row>
    <row r="62" spans="1:13" s="14" customFormat="1" ht="25.05" customHeight="1">
      <c r="A62" s="12">
        <v>5</v>
      </c>
      <c r="B62" s="12" t="s">
        <v>180</v>
      </c>
      <c r="C62" s="12" t="s">
        <v>207</v>
      </c>
      <c r="D62" s="12" t="s">
        <v>139</v>
      </c>
      <c r="E62" s="12" t="s">
        <v>132</v>
      </c>
      <c r="F62" s="12" t="s">
        <v>135</v>
      </c>
      <c r="G62" s="13">
        <v>0</v>
      </c>
      <c r="H62" s="12">
        <v>5</v>
      </c>
      <c r="I62" s="12">
        <v>9.58</v>
      </c>
      <c r="J62" s="12">
        <v>116460</v>
      </c>
      <c r="K62" s="12">
        <v>0</v>
      </c>
      <c r="L62" s="12">
        <v>1</v>
      </c>
      <c r="M62" s="12" t="s">
        <v>182</v>
      </c>
    </row>
    <row r="63" spans="1:13" s="14" customFormat="1" ht="25.05" customHeight="1">
      <c r="A63" s="12">
        <v>5</v>
      </c>
      <c r="B63" s="12" t="s">
        <v>146</v>
      </c>
      <c r="C63" s="12" t="s">
        <v>147</v>
      </c>
      <c r="D63" s="12" t="s">
        <v>148</v>
      </c>
      <c r="E63" s="12" t="s">
        <v>137</v>
      </c>
      <c r="F63" s="12" t="s">
        <v>135</v>
      </c>
      <c r="G63" s="13">
        <v>0</v>
      </c>
      <c r="H63" s="12">
        <v>0</v>
      </c>
      <c r="I63" s="12">
        <v>0.39</v>
      </c>
      <c r="J63" s="12">
        <v>3474</v>
      </c>
      <c r="K63" s="12">
        <v>0</v>
      </c>
      <c r="L63" s="12">
        <v>1</v>
      </c>
      <c r="M63" s="12" t="s">
        <v>150</v>
      </c>
    </row>
    <row r="64" spans="1:13" s="14" customFormat="1" ht="25.05" customHeight="1">
      <c r="A64" s="12">
        <v>5</v>
      </c>
      <c r="B64" s="12" t="s">
        <v>151</v>
      </c>
      <c r="C64" s="12" t="s">
        <v>152</v>
      </c>
      <c r="D64" s="12" t="s">
        <v>148</v>
      </c>
      <c r="E64" s="12" t="s">
        <v>141</v>
      </c>
      <c r="F64" s="12" t="s">
        <v>135</v>
      </c>
      <c r="G64" s="13">
        <v>0</v>
      </c>
      <c r="H64" s="12">
        <v>1</v>
      </c>
      <c r="I64" s="12">
        <v>0.72</v>
      </c>
      <c r="J64" s="12">
        <v>22</v>
      </c>
      <c r="K64" s="12">
        <v>0</v>
      </c>
      <c r="L64" s="12">
        <v>1</v>
      </c>
      <c r="M64" s="12" t="s">
        <v>150</v>
      </c>
    </row>
    <row r="65" spans="1:13" s="14" customFormat="1" ht="25.05" customHeight="1">
      <c r="A65" s="12">
        <v>5</v>
      </c>
      <c r="B65" s="12" t="s">
        <v>153</v>
      </c>
      <c r="C65" s="12" t="s">
        <v>154</v>
      </c>
      <c r="D65" s="12" t="s">
        <v>148</v>
      </c>
      <c r="E65" s="12" t="s">
        <v>58</v>
      </c>
      <c r="F65" s="12" t="s">
        <v>135</v>
      </c>
      <c r="G65" s="13">
        <v>0</v>
      </c>
      <c r="H65" s="12">
        <v>2</v>
      </c>
      <c r="I65" s="12">
        <v>1</v>
      </c>
      <c r="J65" s="12">
        <v>12</v>
      </c>
      <c r="K65" s="12">
        <v>0</v>
      </c>
      <c r="L65" s="12">
        <v>1</v>
      </c>
      <c r="M65" s="12" t="s">
        <v>150</v>
      </c>
    </row>
    <row r="66" spans="1:13" s="14" customFormat="1" ht="25.05" customHeight="1">
      <c r="A66" s="12">
        <v>5</v>
      </c>
      <c r="B66" s="12" t="s">
        <v>168</v>
      </c>
      <c r="C66" s="12" t="s">
        <v>169</v>
      </c>
      <c r="D66" s="12" t="s">
        <v>148</v>
      </c>
      <c r="E66" s="12" t="s">
        <v>162</v>
      </c>
      <c r="F66" s="12" t="s">
        <v>135</v>
      </c>
      <c r="G66" s="13">
        <v>0</v>
      </c>
      <c r="H66" s="12">
        <v>3</v>
      </c>
      <c r="I66" s="12">
        <v>1.52</v>
      </c>
      <c r="J66" s="12">
        <v>3643</v>
      </c>
      <c r="K66" s="12">
        <v>0</v>
      </c>
      <c r="L66" s="12">
        <v>1</v>
      </c>
      <c r="M66" s="12" t="s">
        <v>150</v>
      </c>
    </row>
    <row r="67" spans="1:13" s="14" customFormat="1" ht="25.05" customHeight="1">
      <c r="A67" s="12">
        <v>5</v>
      </c>
      <c r="B67" s="12" t="s">
        <v>170</v>
      </c>
      <c r="C67" s="12" t="s">
        <v>171</v>
      </c>
      <c r="D67" s="12" t="s">
        <v>148</v>
      </c>
      <c r="E67" s="12" t="s">
        <v>165</v>
      </c>
      <c r="F67" s="12" t="s">
        <v>135</v>
      </c>
      <c r="G67" s="13">
        <v>0</v>
      </c>
      <c r="H67" s="12">
        <v>4</v>
      </c>
      <c r="I67" s="12">
        <v>5.2</v>
      </c>
      <c r="J67" s="12">
        <v>3122</v>
      </c>
      <c r="K67" s="12">
        <v>0</v>
      </c>
      <c r="L67" s="12">
        <v>1</v>
      </c>
      <c r="M67" s="12" t="s">
        <v>150</v>
      </c>
    </row>
    <row r="68" spans="1:13" s="14" customFormat="1" ht="25.05" customHeight="1">
      <c r="A68" s="12">
        <v>5</v>
      </c>
      <c r="B68" s="12" t="s">
        <v>194</v>
      </c>
      <c r="C68" s="12" t="s">
        <v>208</v>
      </c>
      <c r="D68" s="12" t="s">
        <v>148</v>
      </c>
      <c r="E68" s="12" t="s">
        <v>180</v>
      </c>
      <c r="F68" s="12" t="s">
        <v>135</v>
      </c>
      <c r="G68" s="13">
        <v>0</v>
      </c>
      <c r="H68" s="12">
        <v>5</v>
      </c>
      <c r="I68" s="12">
        <v>9.58</v>
      </c>
      <c r="J68" s="12">
        <v>5268</v>
      </c>
      <c r="K68" s="12">
        <v>0</v>
      </c>
      <c r="L68" s="12">
        <v>1</v>
      </c>
      <c r="M68" s="12" t="s">
        <v>150</v>
      </c>
    </row>
    <row r="69" spans="1:13" s="14" customFormat="1" ht="25.05" customHeight="1">
      <c r="A69" s="12">
        <v>5</v>
      </c>
      <c r="B69" s="12" t="s">
        <v>196</v>
      </c>
      <c r="C69" s="12" t="s">
        <v>209</v>
      </c>
      <c r="D69" s="12" t="s">
        <v>148</v>
      </c>
      <c r="E69" s="12" t="s">
        <v>137</v>
      </c>
      <c r="F69" s="12" t="s">
        <v>135</v>
      </c>
      <c r="G69" s="13">
        <v>0</v>
      </c>
      <c r="H69" s="12">
        <v>6</v>
      </c>
      <c r="I69" s="12">
        <v>0.39</v>
      </c>
      <c r="J69" s="12">
        <v>4821</v>
      </c>
      <c r="K69" s="12">
        <v>0</v>
      </c>
      <c r="L69" s="12">
        <v>1</v>
      </c>
      <c r="M69" s="12" t="s">
        <v>150</v>
      </c>
    </row>
    <row r="70" spans="1:13" s="14" customFormat="1" ht="25.05" customHeight="1">
      <c r="A70" s="12">
        <v>5</v>
      </c>
      <c r="B70" s="12" t="s">
        <v>198</v>
      </c>
      <c r="C70" s="12" t="s">
        <v>210</v>
      </c>
      <c r="D70" s="12" t="s">
        <v>148</v>
      </c>
      <c r="E70" s="12" t="s">
        <v>141</v>
      </c>
      <c r="F70" s="12" t="s">
        <v>135</v>
      </c>
      <c r="G70" s="13">
        <v>0</v>
      </c>
      <c r="H70" s="12">
        <v>7</v>
      </c>
      <c r="I70" s="12">
        <v>0.72</v>
      </c>
      <c r="J70" s="12">
        <v>5150</v>
      </c>
      <c r="K70" s="12">
        <v>0</v>
      </c>
      <c r="L70" s="12">
        <v>1</v>
      </c>
      <c r="M70" s="12" t="s">
        <v>150</v>
      </c>
    </row>
    <row r="71" spans="1:13" s="14" customFormat="1" ht="25.05" customHeight="1">
      <c r="A71" s="12">
        <v>5</v>
      </c>
      <c r="B71" s="12" t="s">
        <v>155</v>
      </c>
      <c r="C71" s="12" t="s">
        <v>156</v>
      </c>
      <c r="D71" s="12" t="s">
        <v>157</v>
      </c>
      <c r="E71" s="12" t="s">
        <v>141</v>
      </c>
      <c r="F71" s="12" t="s">
        <v>135</v>
      </c>
      <c r="G71" s="13">
        <v>0</v>
      </c>
      <c r="H71" s="12">
        <v>0</v>
      </c>
      <c r="I71" s="12">
        <v>0.72</v>
      </c>
      <c r="J71" s="12">
        <v>12</v>
      </c>
      <c r="K71" s="12">
        <v>0</v>
      </c>
      <c r="L71" s="12">
        <v>1</v>
      </c>
      <c r="M71" s="12" t="s">
        <v>158</v>
      </c>
    </row>
    <row r="72" spans="1:13" s="14" customFormat="1" ht="25.05" customHeight="1">
      <c r="A72" s="12">
        <v>5</v>
      </c>
      <c r="B72" s="12" t="s">
        <v>159</v>
      </c>
      <c r="C72" s="12" t="s">
        <v>160</v>
      </c>
      <c r="D72" s="12" t="s">
        <v>157</v>
      </c>
      <c r="E72" s="12" t="s">
        <v>58</v>
      </c>
      <c r="F72" s="12" t="s">
        <v>135</v>
      </c>
      <c r="G72" s="13">
        <v>0</v>
      </c>
      <c r="H72" s="12">
        <v>1</v>
      </c>
      <c r="I72" s="12">
        <v>1</v>
      </c>
      <c r="J72" s="12">
        <v>12</v>
      </c>
      <c r="K72" s="12">
        <v>0</v>
      </c>
      <c r="L72" s="12">
        <v>1</v>
      </c>
      <c r="M72" s="12" t="s">
        <v>158</v>
      </c>
    </row>
    <row r="73" spans="1:13" s="14" customFormat="1" ht="25.05" customHeight="1">
      <c r="A73" s="12">
        <v>5</v>
      </c>
      <c r="B73" s="12" t="s">
        <v>172</v>
      </c>
      <c r="C73" s="12" t="s">
        <v>173</v>
      </c>
      <c r="D73" s="12" t="s">
        <v>157</v>
      </c>
      <c r="E73" s="12" t="s">
        <v>162</v>
      </c>
      <c r="F73" s="12" t="s">
        <v>135</v>
      </c>
      <c r="G73" s="13">
        <v>0</v>
      </c>
      <c r="H73" s="12">
        <v>2</v>
      </c>
      <c r="I73" s="12">
        <v>1.52</v>
      </c>
      <c r="J73" s="12">
        <v>12</v>
      </c>
      <c r="K73" s="12">
        <v>0</v>
      </c>
      <c r="L73" s="12">
        <v>1</v>
      </c>
      <c r="M73" s="12" t="s">
        <v>158</v>
      </c>
    </row>
    <row r="74" spans="1:13" s="14" customFormat="1" ht="25.05" customHeight="1">
      <c r="A74" s="12">
        <v>5</v>
      </c>
      <c r="B74" s="12" t="s">
        <v>211</v>
      </c>
      <c r="C74" s="12" t="s">
        <v>212</v>
      </c>
      <c r="D74" s="12" t="s">
        <v>157</v>
      </c>
      <c r="E74" s="12" t="s">
        <v>165</v>
      </c>
      <c r="F74" s="12" t="s">
        <v>135</v>
      </c>
      <c r="G74" s="13">
        <v>0</v>
      </c>
      <c r="H74" s="12">
        <v>3</v>
      </c>
      <c r="I74" s="12">
        <v>5.2</v>
      </c>
      <c r="J74" s="12">
        <v>12</v>
      </c>
      <c r="K74" s="12">
        <v>0</v>
      </c>
      <c r="L74" s="12">
        <v>1</v>
      </c>
      <c r="M74" s="12" t="s">
        <v>158</v>
      </c>
    </row>
    <row r="75" spans="1:13" s="14" customFormat="1" ht="25.05" customHeight="1">
      <c r="A75" s="12">
        <v>6</v>
      </c>
      <c r="B75" s="12" t="s">
        <v>132</v>
      </c>
      <c r="C75" s="12" t="s">
        <v>133</v>
      </c>
      <c r="D75" s="12" t="s">
        <v>134</v>
      </c>
      <c r="E75" s="12"/>
      <c r="F75" s="12" t="s">
        <v>135</v>
      </c>
      <c r="G75" s="13">
        <v>0</v>
      </c>
      <c r="H75" s="12">
        <v>0</v>
      </c>
      <c r="I75" s="12">
        <v>0</v>
      </c>
      <c r="J75" s="12">
        <v>1392700</v>
      </c>
      <c r="K75" s="12">
        <v>0</v>
      </c>
      <c r="L75" s="12">
        <v>1</v>
      </c>
      <c r="M75" s="12" t="s">
        <v>136</v>
      </c>
    </row>
    <row r="76" spans="1:13" s="14" customFormat="1" ht="25.05" customHeight="1">
      <c r="A76" s="12">
        <v>6</v>
      </c>
      <c r="B76" s="12" t="s">
        <v>137</v>
      </c>
      <c r="C76" s="12" t="s">
        <v>138</v>
      </c>
      <c r="D76" s="12" t="s">
        <v>139</v>
      </c>
      <c r="E76" s="12" t="s">
        <v>132</v>
      </c>
      <c r="F76" s="12" t="s">
        <v>135</v>
      </c>
      <c r="G76" s="13">
        <v>0</v>
      </c>
      <c r="H76" s="12">
        <v>0</v>
      </c>
      <c r="I76" s="12">
        <v>0.39</v>
      </c>
      <c r="J76" s="12">
        <v>4879</v>
      </c>
      <c r="K76" s="12">
        <v>0</v>
      </c>
      <c r="L76" s="12">
        <v>1</v>
      </c>
      <c r="M76" s="12" t="s">
        <v>140</v>
      </c>
    </row>
    <row r="77" spans="1:13" s="14" customFormat="1" ht="25.05" customHeight="1">
      <c r="A77" s="12">
        <v>6</v>
      </c>
      <c r="B77" s="12" t="s">
        <v>141</v>
      </c>
      <c r="C77" s="12" t="s">
        <v>142</v>
      </c>
      <c r="D77" s="12" t="s">
        <v>139</v>
      </c>
      <c r="E77" s="12" t="s">
        <v>132</v>
      </c>
      <c r="F77" s="12" t="s">
        <v>161</v>
      </c>
      <c r="G77" s="13">
        <v>1600</v>
      </c>
      <c r="H77" s="12">
        <v>1</v>
      </c>
      <c r="I77" s="12">
        <v>0.72</v>
      </c>
      <c r="J77" s="12">
        <v>12104</v>
      </c>
      <c r="K77" s="12">
        <v>3.0000000000000001E-3</v>
      </c>
      <c r="L77" s="12">
        <v>2.5</v>
      </c>
      <c r="M77" s="12" t="s">
        <v>143</v>
      </c>
    </row>
    <row r="78" spans="1:13" s="14" customFormat="1" ht="25.05" customHeight="1">
      <c r="A78" s="12">
        <v>6</v>
      </c>
      <c r="B78" s="12" t="s">
        <v>58</v>
      </c>
      <c r="C78" s="12" t="s">
        <v>144</v>
      </c>
      <c r="D78" s="12" t="s">
        <v>139</v>
      </c>
      <c r="E78" s="12" t="s">
        <v>132</v>
      </c>
      <c r="F78" s="12" t="s">
        <v>149</v>
      </c>
      <c r="G78" s="13">
        <v>1300</v>
      </c>
      <c r="H78" s="12">
        <v>2</v>
      </c>
      <c r="I78" s="12">
        <v>1</v>
      </c>
      <c r="J78" s="12">
        <v>12742</v>
      </c>
      <c r="K78" s="12">
        <v>0</v>
      </c>
      <c r="L78" s="12">
        <v>1</v>
      </c>
      <c r="M78" s="12" t="s">
        <v>145</v>
      </c>
    </row>
    <row r="79" spans="1:13" s="14" customFormat="1" ht="25.05" customHeight="1">
      <c r="A79" s="12">
        <v>6</v>
      </c>
      <c r="B79" s="12" t="s">
        <v>162</v>
      </c>
      <c r="C79" s="12" t="s">
        <v>163</v>
      </c>
      <c r="D79" s="12" t="s">
        <v>139</v>
      </c>
      <c r="E79" s="12" t="s">
        <v>132</v>
      </c>
      <c r="F79" s="12" t="s">
        <v>135</v>
      </c>
      <c r="G79" s="13">
        <v>0</v>
      </c>
      <c r="H79" s="12">
        <v>3</v>
      </c>
      <c r="I79" s="12">
        <v>1.52</v>
      </c>
      <c r="J79" s="12">
        <v>6779</v>
      </c>
      <c r="K79" s="12">
        <v>0</v>
      </c>
      <c r="L79" s="12">
        <v>1</v>
      </c>
      <c r="M79" s="12" t="s">
        <v>164</v>
      </c>
    </row>
    <row r="80" spans="1:13" s="14" customFormat="1" ht="25.05" customHeight="1">
      <c r="A80" s="12">
        <v>6</v>
      </c>
      <c r="B80" s="12" t="s">
        <v>165</v>
      </c>
      <c r="C80" s="12" t="s">
        <v>166</v>
      </c>
      <c r="D80" s="12" t="s">
        <v>139</v>
      </c>
      <c r="E80" s="12" t="s">
        <v>132</v>
      </c>
      <c r="F80" s="12" t="s">
        <v>135</v>
      </c>
      <c r="G80" s="13">
        <v>0</v>
      </c>
      <c r="H80" s="12">
        <v>4</v>
      </c>
      <c r="I80" s="12">
        <v>5.2</v>
      </c>
      <c r="J80" s="12">
        <v>139820</v>
      </c>
      <c r="K80" s="12">
        <v>0</v>
      </c>
      <c r="L80" s="12">
        <v>1</v>
      </c>
      <c r="M80" s="12" t="s">
        <v>167</v>
      </c>
    </row>
    <row r="81" spans="1:13" s="14" customFormat="1" ht="25.05" customHeight="1">
      <c r="A81" s="12">
        <v>6</v>
      </c>
      <c r="B81" s="12" t="s">
        <v>180</v>
      </c>
      <c r="C81" s="12" t="s">
        <v>207</v>
      </c>
      <c r="D81" s="12" t="s">
        <v>139</v>
      </c>
      <c r="E81" s="12" t="s">
        <v>132</v>
      </c>
      <c r="F81" s="12" t="s">
        <v>135</v>
      </c>
      <c r="G81" s="13">
        <v>0</v>
      </c>
      <c r="H81" s="12">
        <v>5</v>
      </c>
      <c r="I81" s="12">
        <v>9.58</v>
      </c>
      <c r="J81" s="12">
        <v>116460</v>
      </c>
      <c r="K81" s="12">
        <v>0</v>
      </c>
      <c r="L81" s="12">
        <v>1</v>
      </c>
      <c r="M81" s="12" t="s">
        <v>182</v>
      </c>
    </row>
    <row r="82" spans="1:13" s="14" customFormat="1" ht="25.05" customHeight="1">
      <c r="A82" s="12">
        <v>6</v>
      </c>
      <c r="B82" s="12" t="s">
        <v>183</v>
      </c>
      <c r="C82" s="12" t="s">
        <v>213</v>
      </c>
      <c r="D82" s="12" t="s">
        <v>139</v>
      </c>
      <c r="E82" s="12" t="s">
        <v>132</v>
      </c>
      <c r="F82" s="12" t="s">
        <v>135</v>
      </c>
      <c r="G82" s="13">
        <v>0</v>
      </c>
      <c r="H82" s="12">
        <v>6</v>
      </c>
      <c r="I82" s="12">
        <v>19.2</v>
      </c>
      <c r="J82" s="12">
        <v>50724</v>
      </c>
      <c r="K82" s="12">
        <v>0</v>
      </c>
      <c r="L82" s="12">
        <v>1</v>
      </c>
      <c r="M82" s="12" t="s">
        <v>185</v>
      </c>
    </row>
    <row r="83" spans="1:13" s="14" customFormat="1" ht="25.05" customHeight="1">
      <c r="A83" s="12">
        <v>6</v>
      </c>
      <c r="B83" s="12" t="s">
        <v>146</v>
      </c>
      <c r="C83" s="12" t="s">
        <v>147</v>
      </c>
      <c r="D83" s="12" t="s">
        <v>148</v>
      </c>
      <c r="E83" s="12" t="s">
        <v>137</v>
      </c>
      <c r="F83" s="12" t="s">
        <v>135</v>
      </c>
      <c r="G83" s="13">
        <v>0</v>
      </c>
      <c r="H83" s="12">
        <v>0</v>
      </c>
      <c r="I83" s="12">
        <v>0.39</v>
      </c>
      <c r="J83" s="12">
        <v>3474</v>
      </c>
      <c r="K83" s="12">
        <v>0</v>
      </c>
      <c r="L83" s="12">
        <v>1</v>
      </c>
      <c r="M83" s="12" t="s">
        <v>150</v>
      </c>
    </row>
    <row r="84" spans="1:13" s="14" customFormat="1" ht="25.05" customHeight="1">
      <c r="A84" s="12">
        <v>6</v>
      </c>
      <c r="B84" s="12" t="s">
        <v>151</v>
      </c>
      <c r="C84" s="12" t="s">
        <v>152</v>
      </c>
      <c r="D84" s="12" t="s">
        <v>148</v>
      </c>
      <c r="E84" s="12" t="s">
        <v>141</v>
      </c>
      <c r="F84" s="12" t="s">
        <v>135</v>
      </c>
      <c r="G84" s="13">
        <v>0</v>
      </c>
      <c r="H84" s="12">
        <v>1</v>
      </c>
      <c r="I84" s="12">
        <v>0.72</v>
      </c>
      <c r="J84" s="12">
        <v>22</v>
      </c>
      <c r="K84" s="12">
        <v>0</v>
      </c>
      <c r="L84" s="12">
        <v>1</v>
      </c>
      <c r="M84" s="12" t="s">
        <v>150</v>
      </c>
    </row>
    <row r="85" spans="1:13" s="14" customFormat="1" ht="25.05" customHeight="1">
      <c r="A85" s="12">
        <v>6</v>
      </c>
      <c r="B85" s="12" t="s">
        <v>153</v>
      </c>
      <c r="C85" s="12" t="s">
        <v>154</v>
      </c>
      <c r="D85" s="12" t="s">
        <v>148</v>
      </c>
      <c r="E85" s="12" t="s">
        <v>58</v>
      </c>
      <c r="F85" s="12" t="s">
        <v>135</v>
      </c>
      <c r="G85" s="13">
        <v>0</v>
      </c>
      <c r="H85" s="12">
        <v>2</v>
      </c>
      <c r="I85" s="12">
        <v>1</v>
      </c>
      <c r="J85" s="12">
        <v>12</v>
      </c>
      <c r="K85" s="12">
        <v>0</v>
      </c>
      <c r="L85" s="12">
        <v>1</v>
      </c>
      <c r="M85" s="12" t="s">
        <v>150</v>
      </c>
    </row>
    <row r="86" spans="1:13" s="14" customFormat="1" ht="25.05" customHeight="1">
      <c r="A86" s="12">
        <v>6</v>
      </c>
      <c r="B86" s="12" t="s">
        <v>168</v>
      </c>
      <c r="C86" s="12" t="s">
        <v>169</v>
      </c>
      <c r="D86" s="12" t="s">
        <v>148</v>
      </c>
      <c r="E86" s="12" t="s">
        <v>162</v>
      </c>
      <c r="F86" s="12" t="s">
        <v>135</v>
      </c>
      <c r="G86" s="13">
        <v>0</v>
      </c>
      <c r="H86" s="12">
        <v>3</v>
      </c>
      <c r="I86" s="12">
        <v>1.52</v>
      </c>
      <c r="J86" s="12">
        <v>3643</v>
      </c>
      <c r="K86" s="12">
        <v>0</v>
      </c>
      <c r="L86" s="12">
        <v>1</v>
      </c>
      <c r="M86" s="12" t="s">
        <v>150</v>
      </c>
    </row>
    <row r="87" spans="1:13" s="14" customFormat="1" ht="25.05" customHeight="1">
      <c r="A87" s="12">
        <v>6</v>
      </c>
      <c r="B87" s="12" t="s">
        <v>170</v>
      </c>
      <c r="C87" s="12" t="s">
        <v>171</v>
      </c>
      <c r="D87" s="12" t="s">
        <v>148</v>
      </c>
      <c r="E87" s="12" t="s">
        <v>165</v>
      </c>
      <c r="F87" s="12" t="s">
        <v>135</v>
      </c>
      <c r="G87" s="13">
        <v>0</v>
      </c>
      <c r="H87" s="12">
        <v>4</v>
      </c>
      <c r="I87" s="12">
        <v>5.2</v>
      </c>
      <c r="J87" s="12">
        <v>3122</v>
      </c>
      <c r="K87" s="12">
        <v>0</v>
      </c>
      <c r="L87" s="12">
        <v>1</v>
      </c>
      <c r="M87" s="12" t="s">
        <v>150</v>
      </c>
    </row>
    <row r="88" spans="1:13" s="14" customFormat="1" ht="25.05" customHeight="1">
      <c r="A88" s="12">
        <v>6</v>
      </c>
      <c r="B88" s="12" t="s">
        <v>194</v>
      </c>
      <c r="C88" s="12" t="s">
        <v>208</v>
      </c>
      <c r="D88" s="12" t="s">
        <v>148</v>
      </c>
      <c r="E88" s="12" t="s">
        <v>180</v>
      </c>
      <c r="F88" s="12" t="s">
        <v>135</v>
      </c>
      <c r="G88" s="13">
        <v>0</v>
      </c>
      <c r="H88" s="12">
        <v>5</v>
      </c>
      <c r="I88" s="12">
        <v>9.58</v>
      </c>
      <c r="J88" s="12">
        <v>5268</v>
      </c>
      <c r="K88" s="12">
        <v>0</v>
      </c>
      <c r="L88" s="12">
        <v>1</v>
      </c>
      <c r="M88" s="12" t="s">
        <v>150</v>
      </c>
    </row>
    <row r="89" spans="1:13" s="14" customFormat="1" ht="25.05" customHeight="1">
      <c r="A89" s="12">
        <v>6</v>
      </c>
      <c r="B89" s="12" t="s">
        <v>196</v>
      </c>
      <c r="C89" s="12" t="s">
        <v>209</v>
      </c>
      <c r="D89" s="12" t="s">
        <v>148</v>
      </c>
      <c r="E89" s="12" t="s">
        <v>183</v>
      </c>
      <c r="F89" s="12" t="s">
        <v>135</v>
      </c>
      <c r="G89" s="13">
        <v>0</v>
      </c>
      <c r="H89" s="12">
        <v>6</v>
      </c>
      <c r="I89" s="12">
        <v>19.2</v>
      </c>
      <c r="J89" s="12">
        <v>4821</v>
      </c>
      <c r="K89" s="12">
        <v>0</v>
      </c>
      <c r="L89" s="12">
        <v>1</v>
      </c>
      <c r="M89" s="12" t="s">
        <v>150</v>
      </c>
    </row>
    <row r="90" spans="1:13" s="14" customFormat="1" ht="25.05" customHeight="1">
      <c r="A90" s="12">
        <v>6</v>
      </c>
      <c r="B90" s="12" t="s">
        <v>198</v>
      </c>
      <c r="C90" s="12" t="s">
        <v>210</v>
      </c>
      <c r="D90" s="12" t="s">
        <v>148</v>
      </c>
      <c r="E90" s="12" t="s">
        <v>137</v>
      </c>
      <c r="F90" s="12" t="s">
        <v>135</v>
      </c>
      <c r="G90" s="13">
        <v>0</v>
      </c>
      <c r="H90" s="12">
        <v>7</v>
      </c>
      <c r="I90" s="12">
        <v>0.39</v>
      </c>
      <c r="J90" s="12">
        <v>5150</v>
      </c>
      <c r="K90" s="12">
        <v>0</v>
      </c>
      <c r="L90" s="12">
        <v>1</v>
      </c>
      <c r="M90" s="12" t="s">
        <v>150</v>
      </c>
    </row>
    <row r="91" spans="1:13" s="14" customFormat="1" ht="25.05" customHeight="1">
      <c r="A91" s="12">
        <v>6</v>
      </c>
      <c r="B91" s="12" t="s">
        <v>200</v>
      </c>
      <c r="C91" s="12" t="s">
        <v>214</v>
      </c>
      <c r="D91" s="12" t="s">
        <v>148</v>
      </c>
      <c r="E91" s="12" t="s">
        <v>141</v>
      </c>
      <c r="F91" s="12" t="s">
        <v>135</v>
      </c>
      <c r="G91" s="13">
        <v>0</v>
      </c>
      <c r="H91" s="12">
        <v>8</v>
      </c>
      <c r="I91" s="12">
        <v>0.72</v>
      </c>
      <c r="J91" s="12">
        <v>504</v>
      </c>
      <c r="K91" s="12">
        <v>0</v>
      </c>
      <c r="L91" s="12">
        <v>1</v>
      </c>
      <c r="M91" s="12" t="s">
        <v>150</v>
      </c>
    </row>
    <row r="92" spans="1:13" s="14" customFormat="1" ht="25.05" customHeight="1">
      <c r="A92" s="12">
        <v>6</v>
      </c>
      <c r="B92" s="12" t="s">
        <v>202</v>
      </c>
      <c r="C92" s="12" t="s">
        <v>215</v>
      </c>
      <c r="D92" s="12" t="s">
        <v>148</v>
      </c>
      <c r="E92" s="12" t="s">
        <v>58</v>
      </c>
      <c r="F92" s="12" t="s">
        <v>135</v>
      </c>
      <c r="G92" s="13">
        <v>0</v>
      </c>
      <c r="H92" s="12">
        <v>9</v>
      </c>
      <c r="I92" s="12">
        <v>1</v>
      </c>
      <c r="J92" s="12">
        <v>2707</v>
      </c>
      <c r="K92" s="12">
        <v>0</v>
      </c>
      <c r="L92" s="12">
        <v>1</v>
      </c>
      <c r="M92" s="12" t="s">
        <v>150</v>
      </c>
    </row>
    <row r="93" spans="1:13" s="14" customFormat="1" ht="25.05" customHeight="1">
      <c r="A93" s="12">
        <v>6</v>
      </c>
      <c r="B93" s="12" t="s">
        <v>155</v>
      </c>
      <c r="C93" s="12" t="s">
        <v>156</v>
      </c>
      <c r="D93" s="12" t="s">
        <v>157</v>
      </c>
      <c r="E93" s="12" t="s">
        <v>141</v>
      </c>
      <c r="F93" s="12" t="s">
        <v>135</v>
      </c>
      <c r="G93" s="13">
        <v>0</v>
      </c>
      <c r="H93" s="12">
        <v>0</v>
      </c>
      <c r="I93" s="12">
        <v>0.72</v>
      </c>
      <c r="J93" s="12">
        <v>12</v>
      </c>
      <c r="K93" s="12">
        <v>0</v>
      </c>
      <c r="L93" s="12">
        <v>1</v>
      </c>
      <c r="M93" s="12" t="s">
        <v>158</v>
      </c>
    </row>
    <row r="94" spans="1:13" s="14" customFormat="1" ht="25.05" customHeight="1">
      <c r="A94" s="12">
        <v>6</v>
      </c>
      <c r="B94" s="12" t="s">
        <v>159</v>
      </c>
      <c r="C94" s="12" t="s">
        <v>160</v>
      </c>
      <c r="D94" s="12" t="s">
        <v>157</v>
      </c>
      <c r="E94" s="12" t="s">
        <v>58</v>
      </c>
      <c r="F94" s="12" t="s">
        <v>135</v>
      </c>
      <c r="G94" s="13">
        <v>0</v>
      </c>
      <c r="H94" s="12">
        <v>1</v>
      </c>
      <c r="I94" s="12">
        <v>1</v>
      </c>
      <c r="J94" s="12">
        <v>12</v>
      </c>
      <c r="K94" s="12">
        <v>0</v>
      </c>
      <c r="L94" s="12">
        <v>1</v>
      </c>
      <c r="M94" s="12" t="s">
        <v>158</v>
      </c>
    </row>
    <row r="95" spans="1:13" s="14" customFormat="1" ht="25.05" customHeight="1">
      <c r="A95" s="12">
        <v>6</v>
      </c>
      <c r="B95" s="12" t="s">
        <v>172</v>
      </c>
      <c r="C95" s="12" t="s">
        <v>173</v>
      </c>
      <c r="D95" s="12" t="s">
        <v>157</v>
      </c>
      <c r="E95" s="12" t="s">
        <v>162</v>
      </c>
      <c r="F95" s="12" t="s">
        <v>135</v>
      </c>
      <c r="G95" s="13">
        <v>0</v>
      </c>
      <c r="H95" s="12">
        <v>2</v>
      </c>
      <c r="I95" s="12">
        <v>1.52</v>
      </c>
      <c r="J95" s="12">
        <v>12</v>
      </c>
      <c r="K95" s="12">
        <v>0</v>
      </c>
      <c r="L95" s="12">
        <v>1</v>
      </c>
      <c r="M95" s="12" t="s">
        <v>158</v>
      </c>
    </row>
    <row r="96" spans="1:13" s="14" customFormat="1" ht="25.05" customHeight="1">
      <c r="A96" s="12">
        <v>6</v>
      </c>
      <c r="B96" s="12" t="s">
        <v>211</v>
      </c>
      <c r="C96" s="12" t="s">
        <v>212</v>
      </c>
      <c r="D96" s="12" t="s">
        <v>157</v>
      </c>
      <c r="E96" s="12" t="s">
        <v>165</v>
      </c>
      <c r="F96" s="12" t="s">
        <v>135</v>
      </c>
      <c r="G96" s="13">
        <v>0</v>
      </c>
      <c r="H96" s="12">
        <v>3</v>
      </c>
      <c r="I96" s="12">
        <v>5.2</v>
      </c>
      <c r="J96" s="12">
        <v>12</v>
      </c>
      <c r="K96" s="12">
        <v>0</v>
      </c>
      <c r="L96" s="12">
        <v>1</v>
      </c>
      <c r="M96" s="12" t="s">
        <v>158</v>
      </c>
    </row>
    <row r="97" spans="1:13" s="14" customFormat="1" ht="25.05" customHeight="1">
      <c r="A97" s="12">
        <v>6</v>
      </c>
      <c r="B97" s="12" t="s">
        <v>216</v>
      </c>
      <c r="C97" s="12" t="s">
        <v>217</v>
      </c>
      <c r="D97" s="12" t="s">
        <v>157</v>
      </c>
      <c r="E97" s="12" t="s">
        <v>180</v>
      </c>
      <c r="F97" s="12" t="s">
        <v>135</v>
      </c>
      <c r="G97" s="13">
        <v>0</v>
      </c>
      <c r="H97" s="12">
        <v>4</v>
      </c>
      <c r="I97" s="12">
        <v>9.58</v>
      </c>
      <c r="J97" s="12">
        <v>12</v>
      </c>
      <c r="K97" s="12">
        <v>0</v>
      </c>
      <c r="L97" s="12">
        <v>1</v>
      </c>
      <c r="M97" s="12" t="s">
        <v>158</v>
      </c>
    </row>
    <row r="98" spans="1:1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</sheetData>
  <phoneticPr fontId="7" type="noConversion"/>
  <dataValidations count="2">
    <dataValidation type="list" sqref="D6:D1000" xr:uid="{00000000-0002-0000-0300-000000000000}">
      <formula1>"恒星,行星,卫星,人工天体"</formula1>
    </dataValidation>
    <dataValidation type="list" sqref="F6:F1000" xr:uid="{00000000-0002-0000-0300-000001000000}">
      <formula1>"碳基,硅基,无生物"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1"/>
  <sheetViews>
    <sheetView showGridLines="0" zoomScale="85" zoomScaleNormal="85" workbookViewId="0">
      <pane xSplit="2" ySplit="5" topLeftCell="C49" activePane="bottomRight" state="frozen"/>
      <selection pane="topRight"/>
      <selection pane="bottomLeft"/>
      <selection pane="bottomRight" activeCell="D63" sqref="D63"/>
    </sheetView>
  </sheetViews>
  <sheetFormatPr defaultRowHeight="13.5"/>
  <cols>
    <col min="1" max="1" width="9" customWidth="1"/>
    <col min="2" max="2" width="22" customWidth="1"/>
    <col min="3" max="3" width="28" customWidth="1"/>
    <col min="4" max="4" width="18" customWidth="1"/>
    <col min="5" max="5" width="16" customWidth="1"/>
    <col min="6" max="6" width="22" customWidth="1"/>
  </cols>
  <sheetData>
    <row r="1" spans="1:6">
      <c r="A1" s="2"/>
      <c r="B1" s="2"/>
      <c r="C1" s="2"/>
      <c r="D1" s="2"/>
      <c r="E1" s="2"/>
      <c r="F1" s="2"/>
    </row>
    <row r="2" spans="1:6" ht="20.65">
      <c r="A2" s="3" t="s">
        <v>218</v>
      </c>
      <c r="B2" s="2"/>
      <c r="C2" s="2"/>
      <c r="D2" s="2"/>
      <c r="E2" s="2"/>
      <c r="F2" s="2"/>
    </row>
    <row r="3" spans="1:6">
      <c r="A3" s="2" t="s">
        <v>219</v>
      </c>
      <c r="B3" s="2"/>
      <c r="C3" s="2"/>
      <c r="D3" s="2"/>
      <c r="E3" s="2"/>
      <c r="F3" s="2"/>
    </row>
    <row r="4" spans="1:6">
      <c r="A4" s="4" t="s">
        <v>49</v>
      </c>
      <c r="B4" s="4" t="s">
        <v>220</v>
      </c>
      <c r="C4" s="4" t="s">
        <v>109</v>
      </c>
      <c r="D4" s="4" t="s">
        <v>221</v>
      </c>
      <c r="E4" s="4" t="s">
        <v>222</v>
      </c>
      <c r="F4" s="4" t="s">
        <v>223</v>
      </c>
    </row>
    <row r="5" spans="1:6" ht="34.049999999999997" customHeight="1">
      <c r="A5" s="7" t="s">
        <v>2</v>
      </c>
      <c r="B5" s="7" t="s">
        <v>224</v>
      </c>
      <c r="C5" s="7" t="s">
        <v>225</v>
      </c>
      <c r="D5" s="7" t="s">
        <v>226</v>
      </c>
      <c r="E5" s="7" t="s">
        <v>227</v>
      </c>
      <c r="F5" s="7" t="s">
        <v>228</v>
      </c>
    </row>
    <row r="6" spans="1:6" s="14" customFormat="1" ht="25.05" customHeight="1">
      <c r="A6" s="12">
        <v>1</v>
      </c>
      <c r="B6" s="12" t="s">
        <v>146</v>
      </c>
      <c r="C6" s="12" t="s">
        <v>229</v>
      </c>
      <c r="D6" s="12" t="s">
        <v>230</v>
      </c>
      <c r="E6" s="12">
        <v>1</v>
      </c>
      <c r="F6" s="12">
        <v>80</v>
      </c>
    </row>
    <row r="7" spans="1:6" s="14" customFormat="1" ht="25.05" customHeight="1">
      <c r="A7" s="12">
        <v>1</v>
      </c>
      <c r="B7" s="12" t="s">
        <v>146</v>
      </c>
      <c r="C7" s="12" t="s">
        <v>231</v>
      </c>
      <c r="D7" s="12" t="s">
        <v>232</v>
      </c>
      <c r="E7" s="12">
        <v>1</v>
      </c>
      <c r="F7" s="12">
        <v>95</v>
      </c>
    </row>
    <row r="8" spans="1:6" s="14" customFormat="1" ht="25.05" customHeight="1">
      <c r="A8" s="12">
        <v>1</v>
      </c>
      <c r="B8" s="12" t="s">
        <v>146</v>
      </c>
      <c r="C8" s="12" t="s">
        <v>233</v>
      </c>
      <c r="D8" s="12" t="s">
        <v>234</v>
      </c>
      <c r="E8" s="12">
        <v>1</v>
      </c>
      <c r="F8" s="12">
        <v>76</v>
      </c>
    </row>
    <row r="9" spans="1:6" s="14" customFormat="1" ht="25.05" customHeight="1">
      <c r="A9" s="12">
        <v>1</v>
      </c>
      <c r="B9" s="12" t="s">
        <v>146</v>
      </c>
      <c r="C9" s="12" t="s">
        <v>235</v>
      </c>
      <c r="D9" s="12" t="s">
        <v>236</v>
      </c>
      <c r="E9" s="12">
        <v>1</v>
      </c>
      <c r="F9" s="12">
        <v>76</v>
      </c>
    </row>
    <row r="10" spans="1:6" s="14" customFormat="1" ht="25.05" customHeight="1">
      <c r="A10" s="12">
        <v>2</v>
      </c>
      <c r="B10" s="12" t="s">
        <v>58</v>
      </c>
      <c r="C10" s="12" t="s">
        <v>237</v>
      </c>
      <c r="D10" s="12" t="s">
        <v>230</v>
      </c>
      <c r="E10" s="12">
        <v>1</v>
      </c>
      <c r="F10" s="12">
        <v>80</v>
      </c>
    </row>
    <row r="11" spans="1:6" s="14" customFormat="1" ht="25.05" customHeight="1">
      <c r="A11" s="12">
        <v>2</v>
      </c>
      <c r="B11" s="12" t="s">
        <v>58</v>
      </c>
      <c r="C11" s="12" t="s">
        <v>238</v>
      </c>
      <c r="D11" s="12" t="s">
        <v>232</v>
      </c>
      <c r="E11" s="12">
        <v>1</v>
      </c>
      <c r="F11" s="12">
        <v>95</v>
      </c>
    </row>
    <row r="12" spans="1:6" s="14" customFormat="1" ht="25.05" customHeight="1">
      <c r="A12" s="12">
        <v>2</v>
      </c>
      <c r="B12" s="12" t="s">
        <v>58</v>
      </c>
      <c r="C12" s="12" t="s">
        <v>239</v>
      </c>
      <c r="D12" s="12" t="s">
        <v>232</v>
      </c>
      <c r="E12" s="12">
        <v>1</v>
      </c>
      <c r="F12" s="12">
        <v>95</v>
      </c>
    </row>
    <row r="13" spans="1:6" s="14" customFormat="1" ht="25.05" customHeight="1">
      <c r="A13" s="12">
        <v>2</v>
      </c>
      <c r="B13" s="12" t="s">
        <v>58</v>
      </c>
      <c r="C13" s="12" t="s">
        <v>240</v>
      </c>
      <c r="D13" s="12" t="s">
        <v>234</v>
      </c>
      <c r="E13" s="12">
        <v>1</v>
      </c>
      <c r="F13" s="12">
        <v>76</v>
      </c>
    </row>
    <row r="14" spans="1:6" s="14" customFormat="1" ht="25.05" customHeight="1">
      <c r="A14" s="12">
        <v>2</v>
      </c>
      <c r="B14" s="12" t="s">
        <v>58</v>
      </c>
      <c r="C14" s="12" t="s">
        <v>241</v>
      </c>
      <c r="D14" s="12" t="s">
        <v>234</v>
      </c>
      <c r="E14" s="12">
        <v>1</v>
      </c>
      <c r="F14" s="12">
        <v>76</v>
      </c>
    </row>
    <row r="15" spans="1:6" s="14" customFormat="1" ht="25.05" customHeight="1">
      <c r="A15" s="12">
        <v>2</v>
      </c>
      <c r="B15" s="12" t="s">
        <v>58</v>
      </c>
      <c r="C15" s="12" t="s">
        <v>242</v>
      </c>
      <c r="D15" s="12" t="s">
        <v>236</v>
      </c>
      <c r="E15" s="12">
        <v>1</v>
      </c>
      <c r="F15" s="12">
        <v>76</v>
      </c>
    </row>
    <row r="16" spans="1:6" s="14" customFormat="1" ht="25.05" customHeight="1">
      <c r="A16" s="12">
        <v>3</v>
      </c>
      <c r="B16" s="12" t="s">
        <v>58</v>
      </c>
      <c r="C16" s="12" t="s">
        <v>237</v>
      </c>
      <c r="D16" s="12" t="s">
        <v>232</v>
      </c>
      <c r="E16" s="12">
        <v>1</v>
      </c>
      <c r="F16" s="12">
        <v>95</v>
      </c>
    </row>
    <row r="17" spans="1:6" s="14" customFormat="1" ht="25.05" customHeight="1">
      <c r="A17" s="12">
        <v>3</v>
      </c>
      <c r="B17" s="12" t="s">
        <v>58</v>
      </c>
      <c r="C17" s="12" t="s">
        <v>238</v>
      </c>
      <c r="D17" s="12" t="s">
        <v>236</v>
      </c>
      <c r="E17" s="12">
        <v>1</v>
      </c>
      <c r="F17" s="12">
        <v>76</v>
      </c>
    </row>
    <row r="18" spans="1:6" s="14" customFormat="1" ht="25.05" customHeight="1">
      <c r="A18" s="12">
        <v>3</v>
      </c>
      <c r="B18" s="12" t="s">
        <v>58</v>
      </c>
      <c r="C18" s="12" t="s">
        <v>239</v>
      </c>
      <c r="D18" s="12" t="s">
        <v>234</v>
      </c>
      <c r="E18" s="12">
        <v>1</v>
      </c>
      <c r="F18" s="12">
        <v>76</v>
      </c>
    </row>
    <row r="19" spans="1:6" s="14" customFormat="1" ht="25.05" customHeight="1">
      <c r="A19" s="12">
        <v>3</v>
      </c>
      <c r="B19" s="12" t="s">
        <v>58</v>
      </c>
      <c r="C19" s="12" t="s">
        <v>240</v>
      </c>
      <c r="D19" s="12" t="s">
        <v>230</v>
      </c>
      <c r="E19" s="12">
        <v>1</v>
      </c>
      <c r="F19" s="12">
        <v>80</v>
      </c>
    </row>
    <row r="20" spans="1:6" s="14" customFormat="1" ht="25.05" customHeight="1">
      <c r="A20" s="12">
        <v>4</v>
      </c>
      <c r="B20" s="12" t="s">
        <v>58</v>
      </c>
      <c r="C20" s="12" t="s">
        <v>237</v>
      </c>
      <c r="D20" s="12" t="s">
        <v>230</v>
      </c>
      <c r="E20" s="12">
        <v>1</v>
      </c>
      <c r="F20" s="12">
        <v>80</v>
      </c>
    </row>
    <row r="21" spans="1:6" s="14" customFormat="1" ht="25.05" customHeight="1">
      <c r="A21" s="12">
        <v>4</v>
      </c>
      <c r="B21" s="12" t="s">
        <v>58</v>
      </c>
      <c r="C21" s="12" t="s">
        <v>238</v>
      </c>
      <c r="D21" s="12" t="s">
        <v>230</v>
      </c>
      <c r="E21" s="12">
        <v>1</v>
      </c>
      <c r="F21" s="12">
        <v>80</v>
      </c>
    </row>
    <row r="22" spans="1:6" s="14" customFormat="1" ht="25.05" customHeight="1">
      <c r="A22" s="12">
        <v>4</v>
      </c>
      <c r="B22" s="12" t="s">
        <v>58</v>
      </c>
      <c r="C22" s="12" t="s">
        <v>239</v>
      </c>
      <c r="D22" s="12" t="s">
        <v>230</v>
      </c>
      <c r="E22" s="12">
        <v>1</v>
      </c>
      <c r="F22" s="12">
        <v>80</v>
      </c>
    </row>
    <row r="23" spans="1:6" s="14" customFormat="1" ht="25.05" customHeight="1">
      <c r="A23" s="12">
        <v>4</v>
      </c>
      <c r="B23" s="12" t="s">
        <v>58</v>
      </c>
      <c r="C23" s="12" t="s">
        <v>240</v>
      </c>
      <c r="D23" s="12" t="s">
        <v>230</v>
      </c>
      <c r="E23" s="12">
        <v>1</v>
      </c>
      <c r="F23" s="12">
        <v>80</v>
      </c>
    </row>
    <row r="24" spans="1:6" s="14" customFormat="1" ht="25.05" customHeight="1">
      <c r="A24" s="12">
        <v>4</v>
      </c>
      <c r="B24" s="12" t="s">
        <v>58</v>
      </c>
      <c r="C24" s="12" t="s">
        <v>241</v>
      </c>
      <c r="D24" s="12" t="s">
        <v>230</v>
      </c>
      <c r="E24" s="12">
        <v>1</v>
      </c>
      <c r="F24" s="12">
        <v>80</v>
      </c>
    </row>
    <row r="25" spans="1:6" s="14" customFormat="1" ht="25.05" customHeight="1">
      <c r="A25" s="12">
        <v>4</v>
      </c>
      <c r="B25" s="12" t="s">
        <v>58</v>
      </c>
      <c r="C25" s="12" t="s">
        <v>242</v>
      </c>
      <c r="D25" s="12" t="s">
        <v>230</v>
      </c>
      <c r="E25" s="12">
        <v>1</v>
      </c>
      <c r="F25" s="12">
        <v>80</v>
      </c>
    </row>
    <row r="26" spans="1:6" s="14" customFormat="1" ht="25.05" customHeight="1">
      <c r="A26" s="12">
        <v>4</v>
      </c>
      <c r="B26" s="12" t="s">
        <v>58</v>
      </c>
      <c r="C26" s="12" t="s">
        <v>243</v>
      </c>
      <c r="D26" s="12" t="s">
        <v>230</v>
      </c>
      <c r="E26" s="12">
        <v>1</v>
      </c>
      <c r="F26" s="12">
        <v>80</v>
      </c>
    </row>
    <row r="27" spans="1:6" s="14" customFormat="1" ht="25.05" customHeight="1">
      <c r="A27" s="12">
        <v>4</v>
      </c>
      <c r="B27" s="12" t="s">
        <v>58</v>
      </c>
      <c r="C27" s="12" t="s">
        <v>244</v>
      </c>
      <c r="D27" s="12" t="s">
        <v>232</v>
      </c>
      <c r="E27" s="12">
        <v>1</v>
      </c>
      <c r="F27" s="12">
        <v>95</v>
      </c>
    </row>
    <row r="28" spans="1:6" s="14" customFormat="1" ht="25.05" customHeight="1">
      <c r="A28" s="12">
        <v>4</v>
      </c>
      <c r="B28" s="12" t="s">
        <v>58</v>
      </c>
      <c r="C28" s="12" t="s">
        <v>245</v>
      </c>
      <c r="D28" s="12" t="s">
        <v>232</v>
      </c>
      <c r="E28" s="12">
        <v>1</v>
      </c>
      <c r="F28" s="12">
        <v>95</v>
      </c>
    </row>
    <row r="29" spans="1:6" s="14" customFormat="1" ht="25.05" customHeight="1">
      <c r="A29" s="12">
        <v>4</v>
      </c>
      <c r="B29" s="12" t="s">
        <v>58</v>
      </c>
      <c r="C29" s="12" t="s">
        <v>246</v>
      </c>
      <c r="D29" s="12" t="s">
        <v>232</v>
      </c>
      <c r="E29" s="12">
        <v>1</v>
      </c>
      <c r="F29" s="12">
        <v>95</v>
      </c>
    </row>
    <row r="30" spans="1:6" s="14" customFormat="1" ht="25.05" customHeight="1">
      <c r="A30" s="12">
        <v>4</v>
      </c>
      <c r="B30" s="12" t="s">
        <v>58</v>
      </c>
      <c r="C30" s="12" t="s">
        <v>247</v>
      </c>
      <c r="D30" s="12" t="s">
        <v>232</v>
      </c>
      <c r="E30" s="12">
        <v>1</v>
      </c>
      <c r="F30" s="12">
        <v>95</v>
      </c>
    </row>
    <row r="31" spans="1:6" s="14" customFormat="1" ht="25.05" customHeight="1">
      <c r="A31" s="12">
        <v>4</v>
      </c>
      <c r="B31" s="12" t="s">
        <v>58</v>
      </c>
      <c r="C31" s="12" t="s">
        <v>248</v>
      </c>
      <c r="D31" s="12" t="s">
        <v>232</v>
      </c>
      <c r="E31" s="12">
        <v>1</v>
      </c>
      <c r="F31" s="12">
        <v>95</v>
      </c>
    </row>
    <row r="32" spans="1:6" s="14" customFormat="1" ht="25.05" customHeight="1">
      <c r="A32" s="12">
        <v>4</v>
      </c>
      <c r="B32" s="12" t="s">
        <v>58</v>
      </c>
      <c r="C32" s="12" t="s">
        <v>249</v>
      </c>
      <c r="D32" s="12" t="s">
        <v>232</v>
      </c>
      <c r="E32" s="12">
        <v>1</v>
      </c>
      <c r="F32" s="12">
        <v>95</v>
      </c>
    </row>
    <row r="33" spans="1:6" s="14" customFormat="1" ht="25.05" customHeight="1">
      <c r="A33" s="12">
        <v>4</v>
      </c>
      <c r="B33" s="12" t="s">
        <v>58</v>
      </c>
      <c r="C33" s="12" t="s">
        <v>250</v>
      </c>
      <c r="D33" s="12" t="s">
        <v>232</v>
      </c>
      <c r="E33" s="12">
        <v>1</v>
      </c>
      <c r="F33" s="12">
        <v>95</v>
      </c>
    </row>
    <row r="34" spans="1:6" s="14" customFormat="1" ht="25.05" customHeight="1">
      <c r="A34" s="12">
        <v>4</v>
      </c>
      <c r="B34" s="12" t="s">
        <v>58</v>
      </c>
      <c r="C34" s="12" t="s">
        <v>251</v>
      </c>
      <c r="D34" s="12" t="s">
        <v>234</v>
      </c>
      <c r="E34" s="12">
        <v>1</v>
      </c>
      <c r="F34" s="12">
        <v>76</v>
      </c>
    </row>
    <row r="35" spans="1:6" s="14" customFormat="1" ht="25.05" customHeight="1">
      <c r="A35" s="12">
        <v>4</v>
      </c>
      <c r="B35" s="12" t="s">
        <v>58</v>
      </c>
      <c r="C35" s="12" t="s">
        <v>252</v>
      </c>
      <c r="D35" s="12" t="s">
        <v>234</v>
      </c>
      <c r="E35" s="12">
        <v>1</v>
      </c>
      <c r="F35" s="12">
        <v>76</v>
      </c>
    </row>
    <row r="36" spans="1:6" s="14" customFormat="1" ht="25.05" customHeight="1">
      <c r="A36" s="12">
        <v>4</v>
      </c>
      <c r="B36" s="12" t="s">
        <v>58</v>
      </c>
      <c r="C36" s="12" t="s">
        <v>253</v>
      </c>
      <c r="D36" s="12" t="s">
        <v>234</v>
      </c>
      <c r="E36" s="12">
        <v>1</v>
      </c>
      <c r="F36" s="12">
        <v>76</v>
      </c>
    </row>
    <row r="37" spans="1:6" s="14" customFormat="1" ht="25.05" customHeight="1">
      <c r="A37" s="12">
        <v>4</v>
      </c>
      <c r="B37" s="12" t="s">
        <v>58</v>
      </c>
      <c r="C37" s="12" t="s">
        <v>254</v>
      </c>
      <c r="D37" s="12" t="s">
        <v>234</v>
      </c>
      <c r="E37" s="12">
        <v>1</v>
      </c>
      <c r="F37" s="12">
        <v>76</v>
      </c>
    </row>
    <row r="38" spans="1:6" s="14" customFormat="1" ht="25.05" customHeight="1">
      <c r="A38" s="12">
        <v>4</v>
      </c>
      <c r="B38" s="12" t="s">
        <v>58</v>
      </c>
      <c r="C38" s="12" t="s">
        <v>255</v>
      </c>
      <c r="D38" s="12" t="s">
        <v>234</v>
      </c>
      <c r="E38" s="12">
        <v>1</v>
      </c>
      <c r="F38" s="12">
        <v>76</v>
      </c>
    </row>
    <row r="39" spans="1:6" s="14" customFormat="1" ht="25.05" customHeight="1">
      <c r="A39" s="12">
        <v>4</v>
      </c>
      <c r="B39" s="12" t="s">
        <v>58</v>
      </c>
      <c r="C39" s="12" t="s">
        <v>256</v>
      </c>
      <c r="D39" s="12" t="s">
        <v>236</v>
      </c>
      <c r="E39" s="12">
        <v>1</v>
      </c>
      <c r="F39" s="12">
        <v>76</v>
      </c>
    </row>
    <row r="40" spans="1:6" s="14" customFormat="1" ht="25.05" customHeight="1">
      <c r="A40" s="12">
        <v>4</v>
      </c>
      <c r="B40" s="12" t="s">
        <v>58</v>
      </c>
      <c r="C40" s="12" t="s">
        <v>257</v>
      </c>
      <c r="D40" s="12" t="s">
        <v>236</v>
      </c>
      <c r="E40" s="12">
        <v>1</v>
      </c>
      <c r="F40" s="12">
        <v>76</v>
      </c>
    </row>
    <row r="41" spans="1:6" s="14" customFormat="1" ht="25.05" customHeight="1">
      <c r="A41" s="12">
        <v>4</v>
      </c>
      <c r="B41" s="12" t="s">
        <v>58</v>
      </c>
      <c r="C41" s="12" t="s">
        <v>258</v>
      </c>
      <c r="D41" s="12" t="s">
        <v>236</v>
      </c>
      <c r="E41" s="12">
        <v>1</v>
      </c>
      <c r="F41" s="12">
        <v>76</v>
      </c>
    </row>
    <row r="42" spans="1:6" s="14" customFormat="1" ht="25.05" customHeight="1">
      <c r="A42" s="12">
        <v>4</v>
      </c>
      <c r="B42" s="12" t="s">
        <v>58</v>
      </c>
      <c r="C42" s="12" t="s">
        <v>259</v>
      </c>
      <c r="D42" s="12" t="s">
        <v>236</v>
      </c>
      <c r="E42" s="12">
        <v>1</v>
      </c>
      <c r="F42" s="12">
        <v>70</v>
      </c>
    </row>
    <row r="43" spans="1:6" s="14" customFormat="1" ht="25.05" customHeight="1">
      <c r="A43" s="12">
        <v>4</v>
      </c>
      <c r="B43" s="12" t="s">
        <v>58</v>
      </c>
      <c r="C43" s="12" t="s">
        <v>260</v>
      </c>
      <c r="D43" s="12" t="s">
        <v>236</v>
      </c>
      <c r="E43" s="12">
        <v>1</v>
      </c>
      <c r="F43" s="12">
        <v>70</v>
      </c>
    </row>
    <row r="44" spans="1:6" s="14" customFormat="1" ht="25.05" customHeight="1">
      <c r="A44" s="12">
        <v>4</v>
      </c>
      <c r="B44" s="12" t="s">
        <v>58</v>
      </c>
      <c r="C44" s="12" t="s">
        <v>261</v>
      </c>
      <c r="D44" s="12" t="s">
        <v>236</v>
      </c>
      <c r="E44" s="12">
        <v>1</v>
      </c>
      <c r="F44" s="12">
        <v>70</v>
      </c>
    </row>
    <row r="45" spans="1:6" s="14" customFormat="1" ht="25.05" customHeight="1">
      <c r="A45" s="12">
        <v>5</v>
      </c>
      <c r="B45" s="12" t="s">
        <v>58</v>
      </c>
      <c r="C45" s="12" t="s">
        <v>237</v>
      </c>
      <c r="D45" s="12" t="s">
        <v>232</v>
      </c>
      <c r="E45" s="12">
        <v>1</v>
      </c>
      <c r="F45" s="12">
        <v>95</v>
      </c>
    </row>
    <row r="46" spans="1:6" s="14" customFormat="1" ht="25.05" customHeight="1">
      <c r="A46" s="12">
        <v>5</v>
      </c>
      <c r="B46" s="12" t="s">
        <v>58</v>
      </c>
      <c r="C46" s="12" t="s">
        <v>238</v>
      </c>
      <c r="D46" s="12" t="s">
        <v>236</v>
      </c>
      <c r="E46" s="12">
        <v>1</v>
      </c>
      <c r="F46" s="12">
        <v>76</v>
      </c>
    </row>
    <row r="47" spans="1:6" s="14" customFormat="1" ht="25.05" customHeight="1">
      <c r="A47" s="12">
        <v>5</v>
      </c>
      <c r="B47" s="12" t="s">
        <v>58</v>
      </c>
      <c r="C47" s="12" t="s">
        <v>239</v>
      </c>
      <c r="D47" s="12" t="s">
        <v>234</v>
      </c>
      <c r="E47" s="12">
        <v>1</v>
      </c>
      <c r="F47" s="12">
        <v>76</v>
      </c>
    </row>
    <row r="48" spans="1:6" s="14" customFormat="1" ht="25.05" customHeight="1">
      <c r="A48" s="12">
        <v>5</v>
      </c>
      <c r="B48" s="12" t="s">
        <v>58</v>
      </c>
      <c r="C48" s="12" t="s">
        <v>240</v>
      </c>
      <c r="D48" s="12" t="s">
        <v>230</v>
      </c>
      <c r="E48" s="12">
        <v>1</v>
      </c>
      <c r="F48" s="12">
        <v>80</v>
      </c>
    </row>
    <row r="49" spans="1:6" s="14" customFormat="1" ht="25.05" customHeight="1">
      <c r="A49" s="12">
        <v>5</v>
      </c>
      <c r="B49" s="12" t="s">
        <v>58</v>
      </c>
      <c r="C49" s="12" t="s">
        <v>241</v>
      </c>
      <c r="D49" s="12" t="s">
        <v>236</v>
      </c>
      <c r="E49" s="12">
        <v>1</v>
      </c>
      <c r="F49" s="12">
        <v>76</v>
      </c>
    </row>
    <row r="50" spans="1:6" s="14" customFormat="1" ht="25.05" customHeight="1">
      <c r="A50" s="12">
        <v>5</v>
      </c>
      <c r="B50" s="12" t="s">
        <v>58</v>
      </c>
      <c r="C50" s="12" t="s">
        <v>242</v>
      </c>
      <c r="D50" s="12" t="s">
        <v>232</v>
      </c>
      <c r="E50" s="12">
        <v>1</v>
      </c>
      <c r="F50" s="12">
        <v>95</v>
      </c>
    </row>
    <row r="51" spans="1:6" s="14" customFormat="1" ht="25.05" customHeight="1">
      <c r="A51" s="12">
        <v>6</v>
      </c>
      <c r="B51" s="12" t="s">
        <v>141</v>
      </c>
      <c r="C51" s="12" t="s">
        <v>262</v>
      </c>
      <c r="D51" s="12" t="s">
        <v>232</v>
      </c>
      <c r="E51" s="12">
        <v>1</v>
      </c>
      <c r="F51" s="12">
        <v>95</v>
      </c>
    </row>
    <row r="52" spans="1:6" s="14" customFormat="1" ht="25.05" customHeight="1">
      <c r="A52" s="12">
        <v>6</v>
      </c>
      <c r="B52" s="12" t="s">
        <v>141</v>
      </c>
      <c r="C52" s="12" t="s">
        <v>263</v>
      </c>
      <c r="D52" s="12" t="s">
        <v>236</v>
      </c>
      <c r="E52" s="12">
        <v>1</v>
      </c>
      <c r="F52" s="12">
        <v>76</v>
      </c>
    </row>
    <row r="53" spans="1:6" s="14" customFormat="1" ht="25.05" customHeight="1">
      <c r="A53" s="12">
        <v>6</v>
      </c>
      <c r="B53" s="12" t="s">
        <v>141</v>
      </c>
      <c r="C53" s="12" t="s">
        <v>264</v>
      </c>
      <c r="D53" s="12" t="s">
        <v>234</v>
      </c>
      <c r="E53" s="12">
        <v>1</v>
      </c>
      <c r="F53" s="12">
        <v>76</v>
      </c>
    </row>
    <row r="54" spans="1:6" s="14" customFormat="1" ht="25.05" customHeight="1">
      <c r="A54" s="12">
        <v>6</v>
      </c>
      <c r="B54" s="12" t="s">
        <v>141</v>
      </c>
      <c r="C54" s="12" t="s">
        <v>265</v>
      </c>
      <c r="D54" s="12" t="s">
        <v>230</v>
      </c>
      <c r="E54" s="12">
        <v>1</v>
      </c>
      <c r="F54" s="12">
        <v>80</v>
      </c>
    </row>
    <row r="55" spans="1:6" s="14" customFormat="1" ht="25.05" customHeight="1">
      <c r="A55" s="12">
        <v>6</v>
      </c>
      <c r="B55" s="12" t="s">
        <v>141</v>
      </c>
      <c r="C55" s="12" t="s">
        <v>266</v>
      </c>
      <c r="D55" s="12" t="s">
        <v>236</v>
      </c>
      <c r="E55" s="12">
        <v>1</v>
      </c>
      <c r="F55" s="12">
        <v>76</v>
      </c>
    </row>
    <row r="56" spans="1:6" s="14" customFormat="1" ht="25.05" customHeight="1">
      <c r="A56" s="12">
        <v>6</v>
      </c>
      <c r="B56" s="12" t="s">
        <v>141</v>
      </c>
      <c r="C56" s="12" t="s">
        <v>267</v>
      </c>
      <c r="D56" s="12" t="s">
        <v>232</v>
      </c>
      <c r="E56" s="12">
        <v>1</v>
      </c>
      <c r="F56" s="12">
        <v>95</v>
      </c>
    </row>
    <row r="57" spans="1:6" s="14" customFormat="1" ht="25.05" customHeight="1">
      <c r="A57" s="12">
        <v>6</v>
      </c>
      <c r="B57" s="12" t="s">
        <v>58</v>
      </c>
      <c r="C57" s="12" t="s">
        <v>237</v>
      </c>
      <c r="D57" s="12" t="s">
        <v>230</v>
      </c>
      <c r="E57" s="12">
        <v>1</v>
      </c>
      <c r="F57" s="12">
        <v>80</v>
      </c>
    </row>
    <row r="58" spans="1:6" s="14" customFormat="1" ht="25.05" customHeight="1">
      <c r="A58" s="12">
        <v>6</v>
      </c>
      <c r="B58" s="12" t="s">
        <v>58</v>
      </c>
      <c r="C58" s="12" t="s">
        <v>238</v>
      </c>
      <c r="D58" s="12" t="s">
        <v>232</v>
      </c>
      <c r="E58" s="12">
        <v>1</v>
      </c>
      <c r="F58" s="12">
        <v>95</v>
      </c>
    </row>
    <row r="59" spans="1:6" s="14" customFormat="1" ht="25.05" customHeight="1">
      <c r="A59" s="12">
        <v>6</v>
      </c>
      <c r="B59" s="12" t="s">
        <v>58</v>
      </c>
      <c r="C59" s="12" t="s">
        <v>239</v>
      </c>
      <c r="D59" s="12" t="s">
        <v>234</v>
      </c>
      <c r="E59" s="12">
        <v>1</v>
      </c>
      <c r="F59" s="12">
        <v>76</v>
      </c>
    </row>
    <row r="60" spans="1:6" s="14" customFormat="1" ht="25.05" customHeight="1">
      <c r="A60" s="12">
        <v>6</v>
      </c>
      <c r="B60" s="12" t="s">
        <v>58</v>
      </c>
      <c r="C60" s="12" t="s">
        <v>240</v>
      </c>
      <c r="D60" s="12" t="s">
        <v>236</v>
      </c>
      <c r="E60" s="12">
        <v>1</v>
      </c>
      <c r="F60" s="12">
        <v>76</v>
      </c>
    </row>
    <row r="61" spans="1:6">
      <c r="A61" s="2"/>
      <c r="B61" s="2"/>
      <c r="C61" s="2"/>
      <c r="D61" s="2"/>
      <c r="E61" s="2"/>
      <c r="F61" s="2"/>
    </row>
  </sheetData>
  <phoneticPr fontId="7" type="noConversion"/>
  <dataValidations count="1">
    <dataValidation type="list" sqref="D6:D1000" xr:uid="{00000000-0002-0000-0400-000000000000}">
      <formula1>"政治,军事,能源,信息"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9"/>
  <sheetViews>
    <sheetView showGridLines="0" zoomScale="85" zoomScaleNormal="85" workbookViewId="0">
      <pane xSplit="1" ySplit="5" topLeftCell="B6" activePane="bottomRight" state="frozen"/>
      <selection pane="topRight"/>
      <selection pane="bottomLeft"/>
      <selection pane="bottomRight" activeCell="J19" sqref="J19"/>
    </sheetView>
  </sheetViews>
  <sheetFormatPr defaultRowHeight="13.5"/>
  <cols>
    <col min="1" max="1" width="9" customWidth="1"/>
    <col min="2" max="2" width="22" customWidth="1"/>
    <col min="3" max="4" width="28" customWidth="1"/>
    <col min="5" max="5" width="24" customWidth="1"/>
  </cols>
  <sheetData>
    <row r="1" spans="1:5">
      <c r="A1" s="2"/>
      <c r="B1" s="2"/>
      <c r="C1" s="2"/>
      <c r="D1" s="2"/>
      <c r="E1" s="2"/>
    </row>
    <row r="2" spans="1:5" ht="20.65">
      <c r="A2" s="3" t="s">
        <v>268</v>
      </c>
      <c r="B2" s="2"/>
      <c r="C2" s="2"/>
      <c r="D2" s="2"/>
      <c r="E2" s="2"/>
    </row>
    <row r="3" spans="1:5">
      <c r="A3" s="2" t="s">
        <v>269</v>
      </c>
      <c r="B3" s="2"/>
      <c r="C3" s="2"/>
      <c r="D3" s="2"/>
      <c r="E3" s="2"/>
    </row>
    <row r="4" spans="1:5">
      <c r="A4" s="4" t="s">
        <v>49</v>
      </c>
      <c r="B4" s="4" t="s">
        <v>220</v>
      </c>
      <c r="C4" s="4" t="s">
        <v>270</v>
      </c>
      <c r="D4" s="4" t="s">
        <v>271</v>
      </c>
      <c r="E4" s="4" t="s">
        <v>272</v>
      </c>
    </row>
    <row r="5" spans="1:5" ht="34.049999999999997" customHeight="1">
      <c r="A5" s="7" t="s">
        <v>2</v>
      </c>
      <c r="B5" s="7" t="s">
        <v>224</v>
      </c>
      <c r="C5" s="7" t="s">
        <v>273</v>
      </c>
      <c r="D5" s="7" t="s">
        <v>274</v>
      </c>
      <c r="E5" s="7" t="s">
        <v>275</v>
      </c>
    </row>
    <row r="6" spans="1:5" s="14" customFormat="1" ht="25.05" customHeight="1">
      <c r="A6" s="12">
        <v>3</v>
      </c>
      <c r="B6" s="12" t="s">
        <v>58</v>
      </c>
      <c r="C6" s="12" t="s">
        <v>237</v>
      </c>
      <c r="D6" s="12" t="s">
        <v>238</v>
      </c>
      <c r="E6" s="12">
        <v>1</v>
      </c>
    </row>
    <row r="7" spans="1:5" s="14" customFormat="1" ht="25.05" customHeight="1">
      <c r="A7" s="12">
        <v>3</v>
      </c>
      <c r="B7" s="12" t="s">
        <v>58</v>
      </c>
      <c r="C7" s="12" t="s">
        <v>238</v>
      </c>
      <c r="D7" s="12" t="s">
        <v>239</v>
      </c>
      <c r="E7" s="12">
        <v>1</v>
      </c>
    </row>
    <row r="8" spans="1:5" s="14" customFormat="1" ht="25.05" customHeight="1">
      <c r="A8" s="12">
        <v>3</v>
      </c>
      <c r="B8" s="12" t="s">
        <v>58</v>
      </c>
      <c r="C8" s="12" t="s">
        <v>239</v>
      </c>
      <c r="D8" s="12" t="s">
        <v>240</v>
      </c>
      <c r="E8" s="12">
        <v>1</v>
      </c>
    </row>
    <row r="9" spans="1:5" s="14" customFormat="1" ht="25.05" customHeight="1">
      <c r="A9" s="12">
        <v>5</v>
      </c>
      <c r="B9" s="12" t="s">
        <v>58</v>
      </c>
      <c r="C9" s="12" t="s">
        <v>237</v>
      </c>
      <c r="D9" s="12" t="s">
        <v>238</v>
      </c>
      <c r="E9" s="12">
        <v>1</v>
      </c>
    </row>
    <row r="10" spans="1:5" s="14" customFormat="1" ht="25.05" customHeight="1">
      <c r="A10" s="12">
        <v>5</v>
      </c>
      <c r="B10" s="12" t="s">
        <v>58</v>
      </c>
      <c r="C10" s="12" t="s">
        <v>238</v>
      </c>
      <c r="D10" s="12" t="s">
        <v>239</v>
      </c>
      <c r="E10" s="12">
        <v>1</v>
      </c>
    </row>
    <row r="11" spans="1:5" s="14" customFormat="1" ht="25.05" customHeight="1">
      <c r="A11" s="12">
        <v>5</v>
      </c>
      <c r="B11" s="12" t="s">
        <v>58</v>
      </c>
      <c r="C11" s="12" t="s">
        <v>239</v>
      </c>
      <c r="D11" s="12" t="s">
        <v>240</v>
      </c>
      <c r="E11" s="12">
        <v>1</v>
      </c>
    </row>
    <row r="12" spans="1:5" s="14" customFormat="1" ht="25.05" customHeight="1">
      <c r="A12" s="12">
        <v>5</v>
      </c>
      <c r="B12" s="12" t="s">
        <v>58</v>
      </c>
      <c r="C12" s="12" t="s">
        <v>240</v>
      </c>
      <c r="D12" s="12" t="s">
        <v>241</v>
      </c>
      <c r="E12" s="12">
        <v>1</v>
      </c>
    </row>
    <row r="13" spans="1:5" s="14" customFormat="1" ht="25.05" customHeight="1">
      <c r="A13" s="12">
        <v>5</v>
      </c>
      <c r="B13" s="12" t="s">
        <v>58</v>
      </c>
      <c r="C13" s="12" t="s">
        <v>241</v>
      </c>
      <c r="D13" s="12" t="s">
        <v>242</v>
      </c>
      <c r="E13" s="12">
        <v>1</v>
      </c>
    </row>
    <row r="14" spans="1:5" s="14" customFormat="1" ht="25.05" customHeight="1">
      <c r="A14" s="12">
        <v>6</v>
      </c>
      <c r="B14" s="12" t="s">
        <v>141</v>
      </c>
      <c r="C14" s="12" t="s">
        <v>262</v>
      </c>
      <c r="D14" s="12" t="s">
        <v>263</v>
      </c>
      <c r="E14" s="12">
        <v>1</v>
      </c>
    </row>
    <row r="15" spans="1:5" s="14" customFormat="1" ht="25.05" customHeight="1">
      <c r="A15" s="12">
        <v>6</v>
      </c>
      <c r="B15" s="12" t="s">
        <v>141</v>
      </c>
      <c r="C15" s="12" t="s">
        <v>263</v>
      </c>
      <c r="D15" s="12" t="s">
        <v>264</v>
      </c>
      <c r="E15" s="12">
        <v>1</v>
      </c>
    </row>
    <row r="16" spans="1:5" s="14" customFormat="1" ht="25.05" customHeight="1">
      <c r="A16" s="12">
        <v>6</v>
      </c>
      <c r="B16" s="12" t="s">
        <v>141</v>
      </c>
      <c r="C16" s="12" t="s">
        <v>264</v>
      </c>
      <c r="D16" s="12" t="s">
        <v>265</v>
      </c>
      <c r="E16" s="12">
        <v>1</v>
      </c>
    </row>
    <row r="17" spans="1:5" s="14" customFormat="1" ht="25.05" customHeight="1">
      <c r="A17" s="12">
        <v>6</v>
      </c>
      <c r="B17" s="12" t="s">
        <v>141</v>
      </c>
      <c r="C17" s="12" t="s">
        <v>265</v>
      </c>
      <c r="D17" s="12" t="s">
        <v>266</v>
      </c>
      <c r="E17" s="12">
        <v>1</v>
      </c>
    </row>
    <row r="18" spans="1:5" s="14" customFormat="1" ht="25.05" customHeight="1">
      <c r="A18" s="12">
        <v>6</v>
      </c>
      <c r="B18" s="12" t="s">
        <v>141</v>
      </c>
      <c r="C18" s="12" t="s">
        <v>266</v>
      </c>
      <c r="D18" s="12" t="s">
        <v>267</v>
      </c>
      <c r="E18" s="12">
        <v>1</v>
      </c>
    </row>
    <row r="19" spans="1:5">
      <c r="A19" s="2"/>
      <c r="B19" s="2"/>
      <c r="C19" s="2"/>
      <c r="D19" s="2"/>
      <c r="E19" s="2"/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6"/>
  <sheetViews>
    <sheetView showGridLines="0" zoomScale="55" zoomScaleNormal="55" workbookViewId="0">
      <pane xSplit="1" ySplit="5" topLeftCell="B6" activePane="bottomRight" state="frozen"/>
      <selection pane="topRight"/>
      <selection pane="bottomLeft"/>
      <selection pane="bottomRight" activeCell="F14" sqref="F14"/>
    </sheetView>
  </sheetViews>
  <sheetFormatPr defaultRowHeight="13.5"/>
  <cols>
    <col min="1" max="1" width="20" customWidth="1"/>
    <col min="2" max="2" width="23" customWidth="1"/>
    <col min="3" max="3" width="30" customWidth="1"/>
    <col min="4" max="4" width="19" customWidth="1"/>
    <col min="5" max="5" width="23" customWidth="1"/>
    <col min="6" max="6" width="21" customWidth="1"/>
    <col min="7" max="7" width="23" customWidth="1"/>
    <col min="8" max="8" width="24" customWidth="1"/>
    <col min="9" max="10" width="19" customWidth="1"/>
    <col min="11" max="11" width="17" customWidth="1"/>
    <col min="12" max="12" width="22" customWidth="1"/>
    <col min="13" max="14" width="18" customWidth="1"/>
    <col min="15" max="15" width="21" customWidth="1"/>
  </cols>
  <sheetData>
    <row r="1" spans="1:1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20.65">
      <c r="A2" s="3" t="s">
        <v>351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 t="s">
        <v>352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4" t="s">
        <v>278</v>
      </c>
      <c r="B4" s="4" t="s">
        <v>21</v>
      </c>
      <c r="C4" s="4" t="s">
        <v>110</v>
      </c>
      <c r="D4" s="4" t="s">
        <v>280</v>
      </c>
      <c r="E4" s="4" t="s">
        <v>353</v>
      </c>
      <c r="F4" s="4" t="s">
        <v>223</v>
      </c>
      <c r="G4" s="4" t="s">
        <v>354</v>
      </c>
      <c r="H4" s="4" t="s">
        <v>355</v>
      </c>
      <c r="I4" s="4" t="s">
        <v>356</v>
      </c>
      <c r="J4" s="4" t="s">
        <v>357</v>
      </c>
      <c r="K4" s="4" t="s">
        <v>358</v>
      </c>
      <c r="L4" s="4" t="s">
        <v>359</v>
      </c>
      <c r="M4" s="4" t="s">
        <v>360</v>
      </c>
      <c r="N4" s="4" t="s">
        <v>361</v>
      </c>
      <c r="O4" s="4" t="s">
        <v>362</v>
      </c>
    </row>
    <row r="5" spans="1:15" ht="34.049999999999997" customHeight="1">
      <c r="A5" s="7" t="s">
        <v>284</v>
      </c>
      <c r="B5" s="7" t="s">
        <v>285</v>
      </c>
      <c r="C5" s="7" t="s">
        <v>3</v>
      </c>
      <c r="D5" s="7" t="s">
        <v>363</v>
      </c>
      <c r="E5" s="7" t="s">
        <v>364</v>
      </c>
      <c r="F5" s="7" t="s">
        <v>365</v>
      </c>
      <c r="G5" s="7" t="s">
        <v>366</v>
      </c>
      <c r="H5" s="7" t="s">
        <v>367</v>
      </c>
      <c r="I5" s="7" t="s">
        <v>368</v>
      </c>
      <c r="J5" s="7" t="s">
        <v>369</v>
      </c>
      <c r="K5" s="7" t="s">
        <v>370</v>
      </c>
      <c r="L5" s="7" t="s">
        <v>371</v>
      </c>
      <c r="M5" s="7" t="s">
        <v>372</v>
      </c>
      <c r="N5" s="7" t="s">
        <v>373</v>
      </c>
      <c r="O5" s="7" t="s">
        <v>374</v>
      </c>
    </row>
    <row r="6" spans="1:15" s="14" customFormat="1" ht="25.05" customHeight="1">
      <c r="A6" s="15" t="s">
        <v>318</v>
      </c>
      <c r="B6" s="15" t="s">
        <v>319</v>
      </c>
      <c r="C6" s="15" t="s">
        <v>320</v>
      </c>
      <c r="D6" s="12">
        <v>10</v>
      </c>
      <c r="E6" s="12">
        <v>0</v>
      </c>
      <c r="F6" s="16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1</v>
      </c>
      <c r="N6" s="12">
        <v>0</v>
      </c>
      <c r="O6" s="12">
        <v>0</v>
      </c>
    </row>
    <row r="7" spans="1:15" s="14" customFormat="1" ht="25.05" customHeight="1">
      <c r="A7" s="15" t="s">
        <v>318</v>
      </c>
      <c r="B7" s="15" t="s">
        <v>321</v>
      </c>
      <c r="C7" s="15" t="s">
        <v>322</v>
      </c>
      <c r="D7" s="12">
        <v>16</v>
      </c>
      <c r="E7" s="12">
        <v>0</v>
      </c>
      <c r="F7" s="16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3</v>
      </c>
      <c r="N7" s="12">
        <v>0</v>
      </c>
      <c r="O7" s="12">
        <v>0</v>
      </c>
    </row>
    <row r="8" spans="1:15" s="14" customFormat="1" ht="25.05" customHeight="1">
      <c r="A8" s="15" t="s">
        <v>318</v>
      </c>
      <c r="B8" s="15" t="s">
        <v>323</v>
      </c>
      <c r="C8" s="15" t="s">
        <v>324</v>
      </c>
      <c r="D8" s="12">
        <v>20</v>
      </c>
      <c r="E8" s="12">
        <v>0</v>
      </c>
      <c r="F8" s="16">
        <v>0</v>
      </c>
      <c r="G8" s="12">
        <v>0</v>
      </c>
      <c r="H8" s="12">
        <v>24</v>
      </c>
      <c r="I8" s="12">
        <v>0</v>
      </c>
      <c r="J8" s="12">
        <v>20</v>
      </c>
      <c r="K8" s="12">
        <v>3</v>
      </c>
      <c r="L8" s="12">
        <v>0</v>
      </c>
      <c r="M8" s="12">
        <v>8</v>
      </c>
      <c r="N8" s="12">
        <v>0</v>
      </c>
      <c r="O8" s="12">
        <v>0</v>
      </c>
    </row>
    <row r="9" spans="1:15" s="14" customFormat="1" ht="25.05" customHeight="1">
      <c r="A9" s="15" t="s">
        <v>318</v>
      </c>
      <c r="B9" s="15" t="s">
        <v>325</v>
      </c>
      <c r="C9" s="15" t="s">
        <v>326</v>
      </c>
      <c r="D9" s="12">
        <v>18</v>
      </c>
      <c r="E9" s="12">
        <v>0</v>
      </c>
      <c r="F9" s="16">
        <v>0</v>
      </c>
      <c r="G9" s="12">
        <v>0</v>
      </c>
      <c r="H9" s="12">
        <v>0</v>
      </c>
      <c r="I9" s="12">
        <v>45</v>
      </c>
      <c r="J9" s="12">
        <v>0</v>
      </c>
      <c r="K9" s="12">
        <v>0</v>
      </c>
      <c r="L9" s="12">
        <v>0</v>
      </c>
      <c r="M9" s="12">
        <v>8</v>
      </c>
      <c r="N9" s="12">
        <v>0</v>
      </c>
      <c r="O9" s="12">
        <v>0</v>
      </c>
    </row>
    <row r="10" spans="1:15" s="14" customFormat="1" ht="25.05" customHeight="1">
      <c r="A10" s="15" t="s">
        <v>318</v>
      </c>
      <c r="B10" s="15" t="s">
        <v>327</v>
      </c>
      <c r="C10" s="15" t="s">
        <v>328</v>
      </c>
      <c r="D10" s="12">
        <v>8</v>
      </c>
      <c r="E10" s="12">
        <v>45</v>
      </c>
      <c r="F10" s="16">
        <v>0.25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12</v>
      </c>
      <c r="N10" s="12">
        <v>2</v>
      </c>
      <c r="O10" s="12">
        <v>0</v>
      </c>
    </row>
    <row r="11" spans="1:15" s="14" customFormat="1" ht="25.05" customHeight="1">
      <c r="A11" s="15" t="s">
        <v>318</v>
      </c>
      <c r="B11" s="15" t="s">
        <v>329</v>
      </c>
      <c r="C11" s="15" t="s">
        <v>330</v>
      </c>
      <c r="D11" s="12">
        <v>20</v>
      </c>
      <c r="E11" s="12">
        <v>220</v>
      </c>
      <c r="F11" s="16">
        <v>0.5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30</v>
      </c>
      <c r="N11" s="12">
        <v>10</v>
      </c>
      <c r="O11" s="12">
        <v>0</v>
      </c>
    </row>
    <row r="12" spans="1:15" s="14" customFormat="1" ht="25.05" customHeight="1">
      <c r="A12" s="15" t="s">
        <v>318</v>
      </c>
      <c r="B12" s="15" t="s">
        <v>312</v>
      </c>
      <c r="C12" s="15" t="s">
        <v>331</v>
      </c>
      <c r="D12" s="12">
        <v>25</v>
      </c>
      <c r="E12" s="12">
        <v>160</v>
      </c>
      <c r="F12" s="16">
        <v>0.34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20</v>
      </c>
      <c r="N12" s="12">
        <v>12</v>
      </c>
      <c r="O12" s="12">
        <v>0</v>
      </c>
    </row>
    <row r="13" spans="1:15" s="14" customFormat="1" ht="25.05" customHeight="1">
      <c r="A13" s="15" t="s">
        <v>318</v>
      </c>
      <c r="B13" s="15" t="s">
        <v>332</v>
      </c>
      <c r="C13" s="15" t="s">
        <v>333</v>
      </c>
      <c r="D13" s="12">
        <v>55</v>
      </c>
      <c r="E13" s="12">
        <v>650</v>
      </c>
      <c r="F13" s="16">
        <v>0.76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50</v>
      </c>
      <c r="N13" s="12">
        <v>28</v>
      </c>
      <c r="O13" s="12">
        <v>0</v>
      </c>
    </row>
    <row r="14" spans="1:15" s="14" customFormat="1" ht="25.05" customHeight="1">
      <c r="A14" s="15" t="s">
        <v>318</v>
      </c>
      <c r="B14" s="15" t="s">
        <v>334</v>
      </c>
      <c r="C14" s="15" t="s">
        <v>335</v>
      </c>
      <c r="D14" s="12">
        <v>5</v>
      </c>
      <c r="E14" s="12">
        <v>0</v>
      </c>
      <c r="F14" s="16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6</v>
      </c>
      <c r="N14" s="12">
        <v>0</v>
      </c>
      <c r="O14" s="12">
        <v>0</v>
      </c>
    </row>
    <row r="15" spans="1:15" s="14" customFormat="1" ht="24.75" customHeight="1">
      <c r="A15" s="15" t="s">
        <v>336</v>
      </c>
      <c r="B15" s="15" t="s">
        <v>337</v>
      </c>
      <c r="C15" s="15" t="s">
        <v>338</v>
      </c>
      <c r="D15" s="12">
        <v>0</v>
      </c>
      <c r="E15" s="12">
        <v>0</v>
      </c>
      <c r="F15" s="16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-10</v>
      </c>
      <c r="N15" s="12">
        <v>0</v>
      </c>
      <c r="O15" s="12">
        <v>1</v>
      </c>
    </row>
    <row r="16" spans="1: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5"/>
  <sheetViews>
    <sheetView showGridLines="0" tabSelected="1" zoomScale="61" zoomScaleNormal="61" workbookViewId="0">
      <pane xSplit="1" ySplit="5" topLeftCell="B9" activePane="bottomRight" state="frozen"/>
      <selection pane="topRight"/>
      <selection pane="bottomLeft"/>
      <selection pane="bottomRight" activeCell="H22" sqref="H22"/>
    </sheetView>
  </sheetViews>
  <sheetFormatPr defaultRowHeight="13.5"/>
  <cols>
    <col min="1" max="1" width="20" customWidth="1"/>
    <col min="2" max="2" width="23" customWidth="1"/>
    <col min="3" max="3" width="30" customWidth="1"/>
    <col min="4" max="4" width="15" customWidth="1"/>
    <col min="5" max="7" width="17" customWidth="1"/>
    <col min="8" max="10" width="18" customWidth="1"/>
    <col min="11" max="11" width="21" customWidth="1"/>
    <col min="12" max="12" width="18" customWidth="1"/>
    <col min="13" max="13" width="26" customWidth="1"/>
    <col min="14" max="14" width="18" customWidth="1"/>
  </cols>
  <sheetData>
    <row r="1" spans="1:1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20.65">
      <c r="A2" s="3" t="s">
        <v>276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2" t="s">
        <v>277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A4" s="4" t="s">
        <v>278</v>
      </c>
      <c r="B4" s="4" t="s">
        <v>21</v>
      </c>
      <c r="C4" s="4" t="s">
        <v>110</v>
      </c>
      <c r="D4" s="4" t="s">
        <v>279</v>
      </c>
      <c r="E4" s="4" t="s">
        <v>65</v>
      </c>
      <c r="F4" s="4" t="s">
        <v>66</v>
      </c>
      <c r="G4" s="4" t="s">
        <v>67</v>
      </c>
      <c r="H4" s="4" t="s">
        <v>68</v>
      </c>
      <c r="I4" s="4" t="s">
        <v>59</v>
      </c>
      <c r="J4" s="4" t="s">
        <v>61</v>
      </c>
      <c r="K4" s="4" t="s">
        <v>280</v>
      </c>
      <c r="L4" s="4" t="s">
        <v>281</v>
      </c>
      <c r="M4" s="4" t="s">
        <v>282</v>
      </c>
      <c r="N4" s="4" t="s">
        <v>283</v>
      </c>
    </row>
    <row r="5" spans="1:14" ht="34.049999999999997" customHeight="1">
      <c r="A5" s="7" t="s">
        <v>284</v>
      </c>
      <c r="B5" s="7" t="s">
        <v>285</v>
      </c>
      <c r="C5" s="7" t="s">
        <v>3</v>
      </c>
      <c r="D5" s="7" t="s">
        <v>286</v>
      </c>
      <c r="E5" s="7" t="s">
        <v>287</v>
      </c>
      <c r="F5" s="7" t="s">
        <v>288</v>
      </c>
      <c r="G5" s="7" t="s">
        <v>289</v>
      </c>
      <c r="H5" s="7" t="s">
        <v>290</v>
      </c>
      <c r="I5" s="7" t="s">
        <v>291</v>
      </c>
      <c r="J5" s="7" t="s">
        <v>292</v>
      </c>
      <c r="K5" s="7" t="s">
        <v>293</v>
      </c>
      <c r="L5" s="7" t="s">
        <v>294</v>
      </c>
      <c r="M5" s="7" t="s">
        <v>295</v>
      </c>
      <c r="N5" s="7" t="s">
        <v>296</v>
      </c>
    </row>
    <row r="6" spans="1:14" s="14" customFormat="1" ht="24" customHeight="1">
      <c r="A6" s="15" t="s">
        <v>297</v>
      </c>
      <c r="B6" s="15" t="s">
        <v>65</v>
      </c>
      <c r="C6" s="12" t="s">
        <v>298</v>
      </c>
      <c r="D6" s="12">
        <v>1</v>
      </c>
      <c r="E6" s="12">
        <v>20</v>
      </c>
      <c r="F6" s="12">
        <v>25</v>
      </c>
      <c r="G6" s="12">
        <v>0</v>
      </c>
      <c r="H6" s="12">
        <v>0</v>
      </c>
      <c r="I6" s="12">
        <v>0</v>
      </c>
      <c r="J6" s="12">
        <v>0</v>
      </c>
      <c r="K6" s="12">
        <v>12</v>
      </c>
      <c r="L6" s="12">
        <v>0</v>
      </c>
      <c r="M6" s="12">
        <v>1.2</v>
      </c>
      <c r="N6" s="12">
        <v>0</v>
      </c>
    </row>
    <row r="7" spans="1:14" s="14" customFormat="1" ht="25.05" customHeight="1">
      <c r="A7" s="15" t="s">
        <v>297</v>
      </c>
      <c r="B7" s="15" t="s">
        <v>66</v>
      </c>
      <c r="C7" s="12" t="s">
        <v>299</v>
      </c>
      <c r="D7" s="12">
        <v>1</v>
      </c>
      <c r="E7" s="12">
        <v>25</v>
      </c>
      <c r="F7" s="12">
        <v>20</v>
      </c>
      <c r="G7" s="12">
        <v>0</v>
      </c>
      <c r="H7" s="12">
        <v>0</v>
      </c>
      <c r="I7" s="12">
        <v>0</v>
      </c>
      <c r="J7" s="12">
        <v>0</v>
      </c>
      <c r="K7" s="12">
        <v>12</v>
      </c>
      <c r="L7" s="12">
        <v>0</v>
      </c>
      <c r="M7" s="12">
        <v>0.7</v>
      </c>
      <c r="N7" s="12">
        <v>0</v>
      </c>
    </row>
    <row r="8" spans="1:14" s="14" customFormat="1" ht="25.05" customHeight="1">
      <c r="A8" s="15" t="s">
        <v>297</v>
      </c>
      <c r="B8" s="15" t="s">
        <v>300</v>
      </c>
      <c r="C8" s="12" t="s">
        <v>301</v>
      </c>
      <c r="D8" s="12">
        <v>1</v>
      </c>
      <c r="E8" s="12">
        <v>35</v>
      </c>
      <c r="F8" s="12">
        <v>35</v>
      </c>
      <c r="G8" s="12">
        <v>0</v>
      </c>
      <c r="H8" s="12">
        <v>0</v>
      </c>
      <c r="I8" s="12">
        <v>0</v>
      </c>
      <c r="J8" s="12">
        <v>0</v>
      </c>
      <c r="K8" s="12">
        <v>15</v>
      </c>
      <c r="L8" s="12">
        <v>0</v>
      </c>
      <c r="M8" s="12">
        <v>0</v>
      </c>
      <c r="N8" s="12">
        <v>0</v>
      </c>
    </row>
    <row r="9" spans="1:14" s="14" customFormat="1" ht="25.05" customHeight="1">
      <c r="A9" s="15" t="s">
        <v>297</v>
      </c>
      <c r="B9" s="15" t="s">
        <v>302</v>
      </c>
      <c r="C9" s="12" t="s">
        <v>303</v>
      </c>
      <c r="D9" s="12">
        <v>1</v>
      </c>
      <c r="E9" s="12">
        <v>35</v>
      </c>
      <c r="F9" s="12">
        <v>45</v>
      </c>
      <c r="G9" s="12">
        <v>0</v>
      </c>
      <c r="H9" s="12">
        <v>0</v>
      </c>
      <c r="I9" s="12">
        <v>0</v>
      </c>
      <c r="J9" s="12">
        <v>0</v>
      </c>
      <c r="K9" s="12">
        <v>15</v>
      </c>
      <c r="L9" s="12">
        <v>0</v>
      </c>
      <c r="M9" s="12">
        <v>1</v>
      </c>
      <c r="N9" s="12">
        <v>0</v>
      </c>
    </row>
    <row r="10" spans="1:14" s="14" customFormat="1" ht="25.05" customHeight="1">
      <c r="A10" s="15" t="s">
        <v>304</v>
      </c>
      <c r="B10" s="15" t="s">
        <v>68</v>
      </c>
      <c r="C10" s="12" t="s">
        <v>305</v>
      </c>
      <c r="D10" s="12">
        <v>1</v>
      </c>
      <c r="E10" s="12">
        <v>12</v>
      </c>
      <c r="F10" s="12">
        <v>18</v>
      </c>
      <c r="G10" s="12">
        <v>0</v>
      </c>
      <c r="H10" s="12">
        <v>0</v>
      </c>
      <c r="I10" s="12">
        <v>0</v>
      </c>
      <c r="J10" s="12">
        <v>0</v>
      </c>
      <c r="K10" s="12">
        <v>10</v>
      </c>
      <c r="L10" s="12">
        <v>10</v>
      </c>
      <c r="M10" s="12">
        <v>0</v>
      </c>
      <c r="N10" s="12">
        <v>0</v>
      </c>
    </row>
    <row r="11" spans="1:14" s="14" customFormat="1" ht="25.05" customHeight="1">
      <c r="A11" s="15" t="s">
        <v>304</v>
      </c>
      <c r="B11" s="15" t="s">
        <v>59</v>
      </c>
      <c r="C11" s="12" t="s">
        <v>306</v>
      </c>
      <c r="D11" s="12">
        <v>2</v>
      </c>
      <c r="E11" s="12">
        <v>24</v>
      </c>
      <c r="F11" s="12">
        <v>36</v>
      </c>
      <c r="G11" s="12">
        <v>0</v>
      </c>
      <c r="H11" s="12">
        <v>0</v>
      </c>
      <c r="I11" s="12">
        <v>0</v>
      </c>
      <c r="J11" s="12">
        <v>0</v>
      </c>
      <c r="K11" s="12">
        <v>15</v>
      </c>
      <c r="L11" s="12">
        <v>6</v>
      </c>
      <c r="M11" s="12">
        <v>0</v>
      </c>
      <c r="N11" s="12">
        <v>0</v>
      </c>
    </row>
    <row r="12" spans="1:14" s="14" customFormat="1" ht="25.05" customHeight="1">
      <c r="A12" s="15" t="s">
        <v>304</v>
      </c>
      <c r="B12" s="15" t="s">
        <v>61</v>
      </c>
      <c r="C12" s="12" t="s">
        <v>307</v>
      </c>
      <c r="D12" s="12">
        <v>3</v>
      </c>
      <c r="E12" s="12">
        <v>48</v>
      </c>
      <c r="F12" s="12">
        <v>70</v>
      </c>
      <c r="G12" s="12">
        <v>0</v>
      </c>
      <c r="H12" s="12">
        <v>0</v>
      </c>
      <c r="I12" s="12">
        <v>0</v>
      </c>
      <c r="J12" s="12">
        <v>0</v>
      </c>
      <c r="K12" s="12">
        <v>20</v>
      </c>
      <c r="L12" s="12">
        <v>3</v>
      </c>
      <c r="M12" s="12">
        <v>0</v>
      </c>
      <c r="N12" s="12">
        <v>0</v>
      </c>
    </row>
    <row r="13" spans="1:14" s="14" customFormat="1" ht="25.05" customHeight="1">
      <c r="A13" s="15" t="s">
        <v>304</v>
      </c>
      <c r="B13" s="15" t="s">
        <v>67</v>
      </c>
      <c r="C13" s="12" t="s">
        <v>308</v>
      </c>
      <c r="D13" s="12">
        <v>1</v>
      </c>
      <c r="E13" s="12">
        <v>15</v>
      </c>
      <c r="F13" s="12">
        <v>13</v>
      </c>
      <c r="G13" s="12">
        <v>0</v>
      </c>
      <c r="H13" s="12">
        <v>0</v>
      </c>
      <c r="I13" s="12">
        <v>0</v>
      </c>
      <c r="J13" s="12">
        <v>0</v>
      </c>
      <c r="K13" s="12">
        <v>10</v>
      </c>
      <c r="L13" s="12">
        <v>8</v>
      </c>
      <c r="M13" s="12">
        <v>0</v>
      </c>
      <c r="N13" s="12">
        <v>0</v>
      </c>
    </row>
    <row r="14" spans="1:14" s="14" customFormat="1" ht="25.05" customHeight="1">
      <c r="A14" s="15" t="s">
        <v>309</v>
      </c>
      <c r="B14" s="15" t="s">
        <v>310</v>
      </c>
      <c r="C14" s="12" t="s">
        <v>311</v>
      </c>
      <c r="D14" s="12">
        <v>1</v>
      </c>
      <c r="E14" s="12">
        <v>8</v>
      </c>
      <c r="F14" s="12">
        <v>10</v>
      </c>
      <c r="G14" s="12">
        <v>4</v>
      </c>
      <c r="H14" s="12">
        <v>0</v>
      </c>
      <c r="I14" s="12">
        <v>0</v>
      </c>
      <c r="J14" s="12">
        <v>0</v>
      </c>
      <c r="K14" s="12">
        <v>10</v>
      </c>
      <c r="L14" s="12">
        <v>0</v>
      </c>
      <c r="M14" s="12">
        <v>0</v>
      </c>
      <c r="N14" s="12">
        <v>0</v>
      </c>
    </row>
    <row r="15" spans="1:14" s="14" customFormat="1" ht="25.05" customHeight="1">
      <c r="A15" s="15" t="s">
        <v>309</v>
      </c>
      <c r="B15" s="15" t="s">
        <v>312</v>
      </c>
      <c r="C15" s="12" t="s">
        <v>313</v>
      </c>
      <c r="D15" s="12">
        <v>1</v>
      </c>
      <c r="E15" s="12">
        <v>16</v>
      </c>
      <c r="F15" s="12">
        <v>24</v>
      </c>
      <c r="G15" s="12">
        <v>7</v>
      </c>
      <c r="H15" s="12">
        <v>0</v>
      </c>
      <c r="I15" s="12">
        <v>0</v>
      </c>
      <c r="J15" s="12">
        <v>0</v>
      </c>
      <c r="K15" s="12">
        <v>15</v>
      </c>
      <c r="L15" s="12">
        <v>0</v>
      </c>
      <c r="M15" s="12">
        <v>0</v>
      </c>
      <c r="N15" s="12">
        <v>0</v>
      </c>
    </row>
    <row r="16" spans="1:14" s="14" customFormat="1" ht="25.05" customHeight="1">
      <c r="A16" s="15" t="s">
        <v>309</v>
      </c>
      <c r="B16" s="15" t="s">
        <v>314</v>
      </c>
      <c r="C16" s="12" t="s">
        <v>315</v>
      </c>
      <c r="D16" s="12">
        <v>2</v>
      </c>
      <c r="E16" s="12">
        <v>32</v>
      </c>
      <c r="F16" s="12">
        <v>50</v>
      </c>
      <c r="G16" s="12">
        <v>10</v>
      </c>
      <c r="H16" s="12">
        <v>0</v>
      </c>
      <c r="I16" s="12">
        <v>0</v>
      </c>
      <c r="J16" s="12">
        <v>0</v>
      </c>
      <c r="K16" s="12">
        <v>25</v>
      </c>
      <c r="L16" s="12">
        <v>0</v>
      </c>
      <c r="M16" s="12">
        <v>0</v>
      </c>
      <c r="N16" s="12">
        <v>0</v>
      </c>
    </row>
    <row r="17" spans="1:14" s="14" customFormat="1" ht="25.05" customHeight="1">
      <c r="A17" s="15" t="s">
        <v>309</v>
      </c>
      <c r="B17" s="15" t="s">
        <v>316</v>
      </c>
      <c r="C17" s="12" t="s">
        <v>317</v>
      </c>
      <c r="D17" s="12">
        <v>3</v>
      </c>
      <c r="E17" s="12">
        <v>80</v>
      </c>
      <c r="F17" s="12">
        <v>130</v>
      </c>
      <c r="G17" s="12">
        <v>25</v>
      </c>
      <c r="H17" s="12">
        <v>0</v>
      </c>
      <c r="I17" s="12">
        <v>0</v>
      </c>
      <c r="J17" s="12">
        <v>0</v>
      </c>
      <c r="K17" s="12">
        <v>40</v>
      </c>
      <c r="L17" s="12">
        <v>0</v>
      </c>
      <c r="M17" s="12">
        <v>0</v>
      </c>
      <c r="N17" s="12">
        <v>0</v>
      </c>
    </row>
    <row r="18" spans="1:14" s="14" customFormat="1" ht="25.05" customHeight="1">
      <c r="A18" s="15" t="s">
        <v>318</v>
      </c>
      <c r="B18" s="15" t="s">
        <v>319</v>
      </c>
      <c r="C18" s="12" t="s">
        <v>320</v>
      </c>
      <c r="D18" s="12">
        <v>1</v>
      </c>
      <c r="E18" s="12">
        <v>4</v>
      </c>
      <c r="F18" s="12">
        <v>4</v>
      </c>
      <c r="G18" s="12">
        <v>8</v>
      </c>
      <c r="H18" s="12">
        <v>0</v>
      </c>
      <c r="I18" s="12">
        <v>0</v>
      </c>
      <c r="J18" s="12">
        <v>0</v>
      </c>
      <c r="K18" s="12"/>
      <c r="L18" s="12">
        <v>0</v>
      </c>
      <c r="M18" s="12">
        <v>0</v>
      </c>
      <c r="N18" s="12">
        <v>0</v>
      </c>
    </row>
    <row r="19" spans="1:14" s="14" customFormat="1" ht="25.05" customHeight="1">
      <c r="A19" s="15" t="s">
        <v>318</v>
      </c>
      <c r="B19" s="15" t="s">
        <v>321</v>
      </c>
      <c r="C19" s="12" t="s">
        <v>322</v>
      </c>
      <c r="D19" s="12">
        <v>1</v>
      </c>
      <c r="E19" s="12">
        <v>6</v>
      </c>
      <c r="F19" s="12">
        <v>5</v>
      </c>
      <c r="G19" s="12">
        <v>14</v>
      </c>
      <c r="H19" s="12">
        <v>0</v>
      </c>
      <c r="I19" s="12">
        <v>0</v>
      </c>
      <c r="J19" s="12">
        <v>0</v>
      </c>
      <c r="K19" s="12"/>
      <c r="L19" s="12">
        <v>0</v>
      </c>
      <c r="M19" s="12">
        <v>0</v>
      </c>
      <c r="N19" s="12">
        <v>0</v>
      </c>
    </row>
    <row r="20" spans="1:14" s="14" customFormat="1" ht="25.05" customHeight="1">
      <c r="A20" s="15" t="s">
        <v>318</v>
      </c>
      <c r="B20" s="15" t="s">
        <v>323</v>
      </c>
      <c r="C20" s="12" t="s">
        <v>324</v>
      </c>
      <c r="D20" s="12">
        <v>2</v>
      </c>
      <c r="E20" s="12">
        <v>30</v>
      </c>
      <c r="F20" s="12">
        <v>20</v>
      </c>
      <c r="G20" s="12">
        <v>18</v>
      </c>
      <c r="H20" s="12">
        <v>0</v>
      </c>
      <c r="I20" s="12">
        <v>0</v>
      </c>
      <c r="J20" s="12">
        <v>0</v>
      </c>
      <c r="K20" s="12">
        <v>10</v>
      </c>
      <c r="L20" s="12">
        <v>0</v>
      </c>
      <c r="M20" s="12">
        <v>0</v>
      </c>
      <c r="N20" s="12">
        <v>0</v>
      </c>
    </row>
    <row r="21" spans="1:14" s="14" customFormat="1" ht="25.05" customHeight="1">
      <c r="A21" s="15" t="s">
        <v>318</v>
      </c>
      <c r="B21" s="15" t="s">
        <v>325</v>
      </c>
      <c r="C21" s="12" t="s">
        <v>326</v>
      </c>
      <c r="D21" s="12">
        <v>3</v>
      </c>
      <c r="E21" s="12">
        <v>30</v>
      </c>
      <c r="F21" s="12">
        <v>20</v>
      </c>
      <c r="G21" s="12">
        <v>18</v>
      </c>
      <c r="H21" s="12">
        <v>0</v>
      </c>
      <c r="I21" s="12">
        <v>0</v>
      </c>
      <c r="J21" s="12">
        <v>0</v>
      </c>
      <c r="K21" s="12">
        <v>10</v>
      </c>
      <c r="L21" s="12">
        <v>0</v>
      </c>
      <c r="M21" s="12">
        <v>0</v>
      </c>
      <c r="N21" s="12">
        <v>0</v>
      </c>
    </row>
    <row r="22" spans="1:14" s="14" customFormat="1" ht="25.05" customHeight="1">
      <c r="A22" s="15" t="s">
        <v>318</v>
      </c>
      <c r="B22" s="15" t="s">
        <v>327</v>
      </c>
      <c r="C22" s="12" t="s">
        <v>328</v>
      </c>
      <c r="D22" s="12">
        <v>1</v>
      </c>
      <c r="E22" s="12">
        <v>20</v>
      </c>
      <c r="F22" s="12">
        <v>16</v>
      </c>
      <c r="G22" s="12">
        <v>0</v>
      </c>
      <c r="H22" s="12">
        <v>25</v>
      </c>
      <c r="I22" s="12">
        <v>0</v>
      </c>
      <c r="J22" s="12">
        <v>0</v>
      </c>
      <c r="K22" s="12">
        <v>12</v>
      </c>
      <c r="L22" s="12">
        <v>0</v>
      </c>
      <c r="M22" s="12">
        <v>0</v>
      </c>
      <c r="N22" s="12">
        <v>0</v>
      </c>
    </row>
    <row r="23" spans="1:14" s="14" customFormat="1" ht="25.05" customHeight="1">
      <c r="A23" s="15" t="s">
        <v>318</v>
      </c>
      <c r="B23" s="15" t="s">
        <v>329</v>
      </c>
      <c r="C23" s="12" t="s">
        <v>330</v>
      </c>
      <c r="D23" s="12">
        <v>2</v>
      </c>
      <c r="E23" s="12">
        <v>60</v>
      </c>
      <c r="F23" s="12">
        <v>45</v>
      </c>
      <c r="G23" s="12">
        <v>0</v>
      </c>
      <c r="H23" s="12">
        <v>50</v>
      </c>
      <c r="I23" s="12">
        <v>27</v>
      </c>
      <c r="J23" s="12">
        <v>6</v>
      </c>
      <c r="K23" s="12">
        <v>30</v>
      </c>
      <c r="L23" s="12">
        <v>0</v>
      </c>
      <c r="M23" s="12">
        <v>0</v>
      </c>
      <c r="N23" s="12">
        <v>0</v>
      </c>
    </row>
    <row r="24" spans="1:14" s="14" customFormat="1" ht="25.05" customHeight="1">
      <c r="A24" s="15" t="s">
        <v>318</v>
      </c>
      <c r="B24" s="15" t="s">
        <v>312</v>
      </c>
      <c r="C24" s="12" t="s">
        <v>331</v>
      </c>
      <c r="D24" s="12">
        <v>2</v>
      </c>
      <c r="E24" s="12">
        <v>35</v>
      </c>
      <c r="F24" s="12">
        <v>24</v>
      </c>
      <c r="G24" s="12">
        <v>0</v>
      </c>
      <c r="H24" s="12">
        <v>35</v>
      </c>
      <c r="I24" s="12">
        <v>18</v>
      </c>
      <c r="J24" s="12">
        <v>0</v>
      </c>
      <c r="K24" s="12">
        <v>15</v>
      </c>
      <c r="L24" s="12">
        <v>0</v>
      </c>
      <c r="M24" s="12">
        <v>0</v>
      </c>
      <c r="N24" s="12">
        <v>0</v>
      </c>
    </row>
    <row r="25" spans="1:14" s="14" customFormat="1" ht="25.05" customHeight="1">
      <c r="A25" s="15" t="s">
        <v>318</v>
      </c>
      <c r="B25" s="15" t="s">
        <v>332</v>
      </c>
      <c r="C25" s="12" t="s">
        <v>333</v>
      </c>
      <c r="D25" s="12">
        <v>3</v>
      </c>
      <c r="E25" s="12">
        <v>90</v>
      </c>
      <c r="F25" s="12">
        <v>75</v>
      </c>
      <c r="G25" s="12">
        <v>0</v>
      </c>
      <c r="H25" s="12">
        <v>70</v>
      </c>
      <c r="I25" s="12">
        <v>30</v>
      </c>
      <c r="J25" s="12">
        <v>12</v>
      </c>
      <c r="K25" s="12">
        <v>35</v>
      </c>
      <c r="L25" s="12">
        <v>0</v>
      </c>
      <c r="M25" s="12">
        <v>0</v>
      </c>
      <c r="N25" s="12">
        <v>0</v>
      </c>
    </row>
    <row r="26" spans="1:14" s="14" customFormat="1" ht="25.05" customHeight="1">
      <c r="A26" s="15" t="s">
        <v>318</v>
      </c>
      <c r="B26" s="15" t="s">
        <v>334</v>
      </c>
      <c r="C26" s="12" t="s">
        <v>335</v>
      </c>
      <c r="D26" s="12">
        <v>1</v>
      </c>
      <c r="E26" s="12">
        <v>18</v>
      </c>
      <c r="F26" s="12">
        <v>12</v>
      </c>
      <c r="G26" s="12">
        <v>0</v>
      </c>
      <c r="H26" s="12">
        <v>15</v>
      </c>
      <c r="I26" s="12">
        <v>0</v>
      </c>
      <c r="J26" s="12">
        <v>0</v>
      </c>
      <c r="K26" s="12">
        <v>5</v>
      </c>
      <c r="L26" s="12">
        <v>0</v>
      </c>
      <c r="M26" s="12">
        <v>0</v>
      </c>
      <c r="N26" s="12">
        <v>0</v>
      </c>
    </row>
    <row r="27" spans="1:14" s="14" customFormat="1" ht="25.05" customHeight="1">
      <c r="A27" s="15" t="s">
        <v>336</v>
      </c>
      <c r="B27" s="15" t="s">
        <v>337</v>
      </c>
      <c r="C27" s="12" t="s">
        <v>338</v>
      </c>
      <c r="D27" s="12">
        <v>2</v>
      </c>
      <c r="E27" s="12">
        <v>20</v>
      </c>
      <c r="F27" s="12">
        <v>0</v>
      </c>
      <c r="G27" s="12">
        <v>16</v>
      </c>
      <c r="H27" s="12">
        <v>0</v>
      </c>
      <c r="I27" s="12">
        <v>0</v>
      </c>
      <c r="J27" s="12">
        <v>0</v>
      </c>
      <c r="K27" s="12">
        <v>12</v>
      </c>
      <c r="L27" s="12">
        <v>0</v>
      </c>
      <c r="M27" s="12">
        <v>0</v>
      </c>
      <c r="N27" s="12">
        <v>0</v>
      </c>
    </row>
    <row r="28" spans="1:14" s="14" customFormat="1" ht="25.05" customHeight="1">
      <c r="A28" s="15" t="s">
        <v>339</v>
      </c>
      <c r="B28" s="15" t="s">
        <v>337</v>
      </c>
      <c r="C28" s="12" t="s">
        <v>340</v>
      </c>
      <c r="D28" s="12">
        <v>1</v>
      </c>
      <c r="E28" s="12">
        <v>25</v>
      </c>
      <c r="F28" s="12">
        <v>20</v>
      </c>
      <c r="G28" s="12">
        <v>12</v>
      </c>
      <c r="H28" s="12">
        <v>0</v>
      </c>
      <c r="I28" s="12">
        <v>0</v>
      </c>
      <c r="J28" s="12">
        <v>0</v>
      </c>
      <c r="K28" s="12">
        <v>35</v>
      </c>
      <c r="L28" s="12">
        <v>0</v>
      </c>
      <c r="M28" s="12">
        <v>0</v>
      </c>
      <c r="N28" s="12">
        <v>0</v>
      </c>
    </row>
    <row r="29" spans="1:14" s="14" customFormat="1" ht="25.05" customHeight="1">
      <c r="A29" s="15" t="s">
        <v>339</v>
      </c>
      <c r="B29" s="15" t="s">
        <v>341</v>
      </c>
      <c r="C29" s="12" t="s">
        <v>342</v>
      </c>
      <c r="D29" s="12">
        <v>3</v>
      </c>
      <c r="E29" s="12">
        <v>35</v>
      </c>
      <c r="F29" s="12">
        <v>30</v>
      </c>
      <c r="G29" s="12">
        <v>20</v>
      </c>
      <c r="H29" s="12">
        <v>18</v>
      </c>
      <c r="I29" s="12">
        <v>0</v>
      </c>
      <c r="J29" s="12">
        <v>0</v>
      </c>
      <c r="K29" s="12">
        <v>45</v>
      </c>
      <c r="L29" s="12">
        <v>0</v>
      </c>
      <c r="M29" s="12">
        <v>0</v>
      </c>
      <c r="N29" s="12">
        <v>0</v>
      </c>
    </row>
    <row r="30" spans="1:14" s="14" customFormat="1" ht="25.05" customHeight="1">
      <c r="A30" s="15" t="s">
        <v>343</v>
      </c>
      <c r="B30" s="15" t="s">
        <v>65</v>
      </c>
      <c r="C30" s="12" t="s">
        <v>344</v>
      </c>
      <c r="D30" s="12">
        <v>1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</row>
    <row r="31" spans="1:14" s="14" customFormat="1" ht="25.05" customHeight="1">
      <c r="A31" s="15" t="s">
        <v>343</v>
      </c>
      <c r="B31" s="15" t="s">
        <v>300</v>
      </c>
      <c r="C31" s="12" t="s">
        <v>345</v>
      </c>
      <c r="D31" s="12">
        <v>1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</row>
    <row r="32" spans="1:14" s="14" customFormat="1" ht="25.05" customHeight="1">
      <c r="A32" s="15" t="s">
        <v>343</v>
      </c>
      <c r="B32" s="15" t="s">
        <v>67</v>
      </c>
      <c r="C32" s="12" t="s">
        <v>346</v>
      </c>
      <c r="D32" s="12">
        <v>1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</row>
    <row r="33" spans="1:14" s="14" customFormat="1" ht="25.05" customHeight="1">
      <c r="A33" s="15" t="s">
        <v>343</v>
      </c>
      <c r="B33" s="15" t="s">
        <v>347</v>
      </c>
      <c r="C33" s="12" t="s">
        <v>348</v>
      </c>
      <c r="D33" s="12">
        <v>1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</row>
    <row r="34" spans="1:14" s="14" customFormat="1" ht="25.05" customHeight="1">
      <c r="A34" s="15" t="s">
        <v>343</v>
      </c>
      <c r="B34" s="15" t="s">
        <v>349</v>
      </c>
      <c r="C34" s="12" t="s">
        <v>350</v>
      </c>
      <c r="D34" s="12">
        <v>1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</row>
    <row r="35" spans="1:1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D17" sqref="D17"/>
    </sheetView>
  </sheetViews>
  <sheetFormatPr defaultRowHeight="13.5"/>
  <cols>
    <col min="1" max="1" width="20" customWidth="1"/>
    <col min="2" max="2" width="22" customWidth="1"/>
    <col min="3" max="3" width="27" customWidth="1"/>
    <col min="4" max="5" width="17" customWidth="1"/>
    <col min="6" max="6" width="24" customWidth="1"/>
    <col min="7" max="8" width="20" customWidth="1"/>
  </cols>
  <sheetData>
    <row r="1" spans="1:8">
      <c r="A1" s="2"/>
      <c r="B1" s="2"/>
      <c r="C1" s="2"/>
      <c r="D1" s="2"/>
      <c r="E1" s="2"/>
      <c r="F1" s="2"/>
      <c r="G1" s="2"/>
      <c r="H1" s="2"/>
    </row>
    <row r="2" spans="1:8" ht="20.65">
      <c r="A2" s="3" t="s">
        <v>375</v>
      </c>
      <c r="B2" s="2"/>
      <c r="C2" s="2"/>
      <c r="D2" s="2"/>
      <c r="E2" s="2"/>
      <c r="F2" s="2"/>
      <c r="G2" s="2"/>
      <c r="H2" s="2"/>
    </row>
    <row r="3" spans="1:8">
      <c r="A3" s="2" t="s">
        <v>376</v>
      </c>
      <c r="B3" s="2"/>
      <c r="C3" s="2"/>
      <c r="D3" s="2"/>
      <c r="E3" s="2"/>
      <c r="F3" s="2"/>
      <c r="G3" s="2"/>
      <c r="H3" s="2"/>
    </row>
    <row r="4" spans="1:8">
      <c r="A4" s="4" t="s">
        <v>278</v>
      </c>
      <c r="B4" s="4" t="s">
        <v>21</v>
      </c>
      <c r="C4" s="4" t="s">
        <v>110</v>
      </c>
      <c r="D4" s="4" t="s">
        <v>377</v>
      </c>
      <c r="E4" s="4" t="s">
        <v>378</v>
      </c>
      <c r="F4" s="4" t="s">
        <v>379</v>
      </c>
      <c r="G4" s="4" t="s">
        <v>380</v>
      </c>
      <c r="H4" s="4" t="s">
        <v>381</v>
      </c>
    </row>
    <row r="5" spans="1:8" ht="34.049999999999997" customHeight="1">
      <c r="A5" s="7" t="s">
        <v>284</v>
      </c>
      <c r="B5" s="7" t="s">
        <v>382</v>
      </c>
      <c r="C5" s="7" t="s">
        <v>383</v>
      </c>
      <c r="D5" s="7" t="s">
        <v>384</v>
      </c>
      <c r="E5" s="7" t="s">
        <v>385</v>
      </c>
      <c r="F5" s="7" t="s">
        <v>386</v>
      </c>
      <c r="G5" s="7" t="s">
        <v>387</v>
      </c>
      <c r="H5" s="7" t="s">
        <v>388</v>
      </c>
    </row>
    <row r="6" spans="1:8" s="14" customFormat="1" ht="25.05" customHeight="1">
      <c r="A6" s="15" t="s">
        <v>309</v>
      </c>
      <c r="B6" s="15" t="s">
        <v>310</v>
      </c>
      <c r="C6" s="15" t="s">
        <v>311</v>
      </c>
      <c r="D6" s="12">
        <v>1</v>
      </c>
      <c r="E6" s="12">
        <v>1</v>
      </c>
      <c r="F6" s="12">
        <v>0</v>
      </c>
      <c r="G6" s="12">
        <v>10</v>
      </c>
      <c r="H6" s="12">
        <v>0</v>
      </c>
    </row>
    <row r="7" spans="1:8" s="14" customFormat="1" ht="25.05" customHeight="1">
      <c r="A7" s="15" t="s">
        <v>309</v>
      </c>
      <c r="B7" s="15" t="s">
        <v>312</v>
      </c>
      <c r="C7" s="15" t="s">
        <v>313</v>
      </c>
      <c r="D7" s="12">
        <v>1</v>
      </c>
      <c r="E7" s="12">
        <v>2</v>
      </c>
      <c r="F7" s="12">
        <v>1</v>
      </c>
      <c r="G7" s="12">
        <v>18</v>
      </c>
      <c r="H7" s="12">
        <v>2</v>
      </c>
    </row>
    <row r="8" spans="1:8" s="14" customFormat="1" ht="25.05" customHeight="1">
      <c r="A8" s="15" t="s">
        <v>309</v>
      </c>
      <c r="B8" s="15" t="s">
        <v>314</v>
      </c>
      <c r="C8" s="15" t="s">
        <v>315</v>
      </c>
      <c r="D8" s="12">
        <v>1</v>
      </c>
      <c r="E8" s="12">
        <v>2</v>
      </c>
      <c r="F8" s="12">
        <v>2</v>
      </c>
      <c r="G8" s="12">
        <v>30</v>
      </c>
      <c r="H8" s="12">
        <v>5</v>
      </c>
    </row>
    <row r="9" spans="1:8" s="14" customFormat="1" ht="25.05" customHeight="1">
      <c r="A9" s="15" t="s">
        <v>309</v>
      </c>
      <c r="B9" s="15" t="s">
        <v>316</v>
      </c>
      <c r="C9" s="15" t="s">
        <v>317</v>
      </c>
      <c r="D9" s="12">
        <v>1</v>
      </c>
      <c r="E9" s="12">
        <v>3</v>
      </c>
      <c r="F9" s="12">
        <v>3</v>
      </c>
      <c r="G9" s="12">
        <v>45</v>
      </c>
      <c r="H9" s="12">
        <v>10</v>
      </c>
    </row>
    <row r="10" spans="1:8">
      <c r="A10" s="2"/>
      <c r="B10" s="2"/>
      <c r="C10" s="2"/>
      <c r="D10" s="2"/>
      <c r="E10" s="2"/>
      <c r="F10" s="2"/>
      <c r="G10" s="2"/>
      <c r="H10" s="2"/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82"/>
  <sheetViews>
    <sheetView showGridLines="0" workbookViewId="0">
      <pane xSplit="1" ySplit="5" topLeftCell="B71" activePane="bottomRight" state="frozen"/>
      <selection pane="topRight"/>
      <selection pane="bottomLeft"/>
      <selection pane="bottomRight" activeCell="C8" sqref="C8"/>
    </sheetView>
  </sheetViews>
  <sheetFormatPr defaultRowHeight="13.5"/>
  <cols>
    <col min="1" max="1" width="64" customWidth="1"/>
    <col min="2" max="2" width="59" customWidth="1"/>
    <col min="3" max="3" width="20" customWidth="1"/>
    <col min="4" max="4" width="46" customWidth="1"/>
  </cols>
  <sheetData>
    <row r="1" spans="1:4">
      <c r="A1" s="2"/>
      <c r="B1" s="2"/>
      <c r="C1" s="2"/>
      <c r="D1" s="2"/>
    </row>
    <row r="2" spans="1:4" ht="20.65">
      <c r="A2" s="3" t="s">
        <v>389</v>
      </c>
      <c r="B2" s="2"/>
      <c r="C2" s="2"/>
      <c r="D2" s="2"/>
    </row>
    <row r="3" spans="1:4">
      <c r="A3" s="2" t="s">
        <v>390</v>
      </c>
      <c r="B3" s="2"/>
      <c r="C3" s="2"/>
      <c r="D3" s="2"/>
    </row>
    <row r="4" spans="1:4">
      <c r="A4" s="4" t="s">
        <v>21</v>
      </c>
      <c r="B4" s="4" t="s">
        <v>22</v>
      </c>
      <c r="C4" s="4" t="s">
        <v>23</v>
      </c>
      <c r="D4" s="4" t="s">
        <v>25</v>
      </c>
    </row>
    <row r="5" spans="1:4" ht="34.049999999999997" customHeight="1">
      <c r="A5" s="7" t="s">
        <v>26</v>
      </c>
      <c r="B5" s="7" t="s">
        <v>27</v>
      </c>
      <c r="C5" s="7" t="s">
        <v>28</v>
      </c>
      <c r="D5" s="7" t="s">
        <v>51</v>
      </c>
    </row>
    <row r="6" spans="1:4" ht="25.05" customHeight="1">
      <c r="A6" s="6" t="s">
        <v>391</v>
      </c>
      <c r="B6" s="6" t="s">
        <v>392</v>
      </c>
      <c r="C6" s="5">
        <v>0.7</v>
      </c>
      <c r="D6" s="6" t="s">
        <v>393</v>
      </c>
    </row>
    <row r="7" spans="1:4" ht="25.05" customHeight="1">
      <c r="A7" s="6" t="s">
        <v>394</v>
      </c>
      <c r="B7" s="6" t="s">
        <v>395</v>
      </c>
      <c r="C7" s="5">
        <v>0.5</v>
      </c>
      <c r="D7" s="6" t="s">
        <v>393</v>
      </c>
    </row>
    <row r="8" spans="1:4" ht="25.05" customHeight="1">
      <c r="A8" s="6" t="s">
        <v>396</v>
      </c>
      <c r="B8" s="6" t="s">
        <v>397</v>
      </c>
      <c r="C8" s="5">
        <v>3</v>
      </c>
      <c r="D8" s="6" t="s">
        <v>393</v>
      </c>
    </row>
    <row r="9" spans="1:4" ht="25.05" customHeight="1">
      <c r="A9" s="6" t="s">
        <v>398</v>
      </c>
      <c r="B9" s="6" t="s">
        <v>399</v>
      </c>
      <c r="C9" s="5">
        <v>2</v>
      </c>
      <c r="D9" s="6" t="s">
        <v>393</v>
      </c>
    </row>
    <row r="10" spans="1:4" ht="25.05" customHeight="1">
      <c r="A10" s="6" t="s">
        <v>400</v>
      </c>
      <c r="B10" s="6" t="s">
        <v>401</v>
      </c>
      <c r="C10" s="5">
        <v>1</v>
      </c>
      <c r="D10" s="6" t="s">
        <v>393</v>
      </c>
    </row>
    <row r="11" spans="1:4" ht="25.05" customHeight="1">
      <c r="A11" s="6" t="s">
        <v>402</v>
      </c>
      <c r="B11" s="6" t="s">
        <v>403</v>
      </c>
      <c r="C11" s="5">
        <v>1</v>
      </c>
      <c r="D11" s="6" t="s">
        <v>393</v>
      </c>
    </row>
    <row r="12" spans="1:4" ht="25.05" customHeight="1">
      <c r="A12" s="6" t="s">
        <v>404</v>
      </c>
      <c r="B12" s="6" t="s">
        <v>405</v>
      </c>
      <c r="C12" s="5">
        <v>0.8</v>
      </c>
      <c r="D12" s="6" t="s">
        <v>393</v>
      </c>
    </row>
    <row r="13" spans="1:4" ht="25.05" customHeight="1">
      <c r="A13" s="6" t="s">
        <v>406</v>
      </c>
      <c r="B13" s="6" t="s">
        <v>407</v>
      </c>
      <c r="C13" s="5">
        <v>0.05</v>
      </c>
      <c r="D13" s="6" t="s">
        <v>393</v>
      </c>
    </row>
    <row r="14" spans="1:4" ht="25.05" customHeight="1">
      <c r="A14" s="6" t="s">
        <v>408</v>
      </c>
      <c r="B14" s="6" t="s">
        <v>409</v>
      </c>
      <c r="C14" s="5">
        <v>0.02</v>
      </c>
      <c r="D14" s="6" t="s">
        <v>393</v>
      </c>
    </row>
    <row r="15" spans="1:4" ht="25.05" customHeight="1">
      <c r="A15" s="6" t="s">
        <v>410</v>
      </c>
      <c r="B15" s="6" t="s">
        <v>411</v>
      </c>
      <c r="C15" s="5">
        <v>0.05</v>
      </c>
      <c r="D15" s="6" t="s">
        <v>393</v>
      </c>
    </row>
    <row r="16" spans="1:4" ht="25.05" customHeight="1">
      <c r="A16" s="6" t="s">
        <v>412</v>
      </c>
      <c r="B16" s="6" t="s">
        <v>413</v>
      </c>
      <c r="C16" s="5">
        <v>0.6</v>
      </c>
      <c r="D16" s="6" t="s">
        <v>393</v>
      </c>
    </row>
    <row r="17" spans="1:4" ht="25.05" customHeight="1">
      <c r="A17" s="6" t="s">
        <v>414</v>
      </c>
      <c r="B17" s="6" t="s">
        <v>415</v>
      </c>
      <c r="C17" s="5">
        <v>6</v>
      </c>
      <c r="D17" s="6" t="s">
        <v>393</v>
      </c>
    </row>
    <row r="18" spans="1:4" ht="25.05" customHeight="1">
      <c r="A18" s="6" t="s">
        <v>416</v>
      </c>
      <c r="B18" s="6" t="s">
        <v>417</v>
      </c>
      <c r="C18" s="5">
        <v>0.04</v>
      </c>
      <c r="D18" s="6" t="s">
        <v>393</v>
      </c>
    </row>
    <row r="19" spans="1:4" ht="25.05" customHeight="1">
      <c r="A19" s="6" t="s">
        <v>418</v>
      </c>
      <c r="B19" s="6" t="s">
        <v>419</v>
      </c>
      <c r="C19" s="5">
        <v>0.3</v>
      </c>
      <c r="D19" s="6" t="s">
        <v>393</v>
      </c>
    </row>
    <row r="20" spans="1:4" ht="25.05" customHeight="1">
      <c r="A20" s="6" t="s">
        <v>420</v>
      </c>
      <c r="B20" s="6" t="s">
        <v>421</v>
      </c>
      <c r="C20" s="5">
        <v>0.15</v>
      </c>
      <c r="D20" s="6" t="s">
        <v>393</v>
      </c>
    </row>
    <row r="21" spans="1:4" ht="25.05" customHeight="1">
      <c r="A21" s="6" t="s">
        <v>422</v>
      </c>
      <c r="B21" s="6" t="s">
        <v>423</v>
      </c>
      <c r="C21" s="5">
        <v>0.08</v>
      </c>
      <c r="D21" s="6" t="s">
        <v>393</v>
      </c>
    </row>
    <row r="22" spans="1:4" ht="25.05" customHeight="1">
      <c r="A22" s="6" t="s">
        <v>424</v>
      </c>
      <c r="B22" s="6" t="s">
        <v>425</v>
      </c>
      <c r="C22" s="5">
        <v>70</v>
      </c>
      <c r="D22" s="6" t="s">
        <v>393</v>
      </c>
    </row>
    <row r="23" spans="1:4" ht="25.05" customHeight="1">
      <c r="A23" s="6" t="s">
        <v>426</v>
      </c>
      <c r="B23" s="6" t="s">
        <v>427</v>
      </c>
      <c r="C23" s="5">
        <v>0.2</v>
      </c>
      <c r="D23" s="6" t="s">
        <v>393</v>
      </c>
    </row>
    <row r="24" spans="1:4" ht="25.05" customHeight="1">
      <c r="A24" s="6" t="s">
        <v>428</v>
      </c>
      <c r="B24" s="6" t="s">
        <v>429</v>
      </c>
      <c r="C24" s="5">
        <v>0.15</v>
      </c>
      <c r="D24" s="6" t="s">
        <v>393</v>
      </c>
    </row>
    <row r="25" spans="1:4" ht="25.05" customHeight="1">
      <c r="A25" s="6" t="s">
        <v>430</v>
      </c>
      <c r="B25" s="6" t="s">
        <v>431</v>
      </c>
      <c r="C25" s="5">
        <v>0.1</v>
      </c>
      <c r="D25" s="6" t="s">
        <v>393</v>
      </c>
    </row>
    <row r="26" spans="1:4" ht="25.05" customHeight="1">
      <c r="A26" s="6" t="s">
        <v>432</v>
      </c>
      <c r="B26" s="6" t="s">
        <v>433</v>
      </c>
      <c r="C26" s="5">
        <v>1</v>
      </c>
      <c r="D26" s="6" t="s">
        <v>393</v>
      </c>
    </row>
    <row r="27" spans="1:4" ht="25.05" customHeight="1">
      <c r="A27" s="6" t="s">
        <v>434</v>
      </c>
      <c r="B27" s="6" t="s">
        <v>435</v>
      </c>
      <c r="C27" s="5">
        <v>8</v>
      </c>
      <c r="D27" s="6" t="s">
        <v>393</v>
      </c>
    </row>
    <row r="28" spans="1:4" ht="25.05" customHeight="1">
      <c r="A28" s="6" t="s">
        <v>436</v>
      </c>
      <c r="B28" s="6" t="s">
        <v>437</v>
      </c>
      <c r="C28" s="5">
        <v>0.12</v>
      </c>
      <c r="D28" s="6" t="s">
        <v>393</v>
      </c>
    </row>
    <row r="29" spans="1:4" ht="25.05" customHeight="1">
      <c r="A29" s="6" t="s">
        <v>438</v>
      </c>
      <c r="B29" s="6" t="s">
        <v>439</v>
      </c>
      <c r="C29" s="5">
        <v>2</v>
      </c>
      <c r="D29" s="6" t="s">
        <v>393</v>
      </c>
    </row>
    <row r="30" spans="1:4" ht="25.05" customHeight="1">
      <c r="A30" s="6" t="s">
        <v>440</v>
      </c>
      <c r="B30" s="6" t="s">
        <v>441</v>
      </c>
      <c r="C30" s="5">
        <v>0.05</v>
      </c>
      <c r="D30" s="6" t="s">
        <v>393</v>
      </c>
    </row>
    <row r="31" spans="1:4" ht="25.05" customHeight="1">
      <c r="A31" s="6" t="s">
        <v>442</v>
      </c>
      <c r="B31" s="6" t="s">
        <v>443</v>
      </c>
      <c r="C31" s="5">
        <v>2</v>
      </c>
      <c r="D31" s="6" t="s">
        <v>393</v>
      </c>
    </row>
    <row r="32" spans="1:4" ht="25.05" customHeight="1">
      <c r="A32" s="6" t="s">
        <v>444</v>
      </c>
      <c r="B32" s="6" t="s">
        <v>445</v>
      </c>
      <c r="C32" s="5">
        <v>1.2</v>
      </c>
      <c r="D32" s="6" t="s">
        <v>393</v>
      </c>
    </row>
    <row r="33" spans="1:4" ht="25.05" customHeight="1">
      <c r="A33" s="6" t="s">
        <v>446</v>
      </c>
      <c r="B33" s="6" t="s">
        <v>447</v>
      </c>
      <c r="C33" s="5">
        <v>0.8</v>
      </c>
      <c r="D33" s="6" t="s">
        <v>393</v>
      </c>
    </row>
    <row r="34" spans="1:4" ht="25.05" customHeight="1">
      <c r="A34" s="6" t="s">
        <v>448</v>
      </c>
      <c r="B34" s="6" t="s">
        <v>449</v>
      </c>
      <c r="C34" s="5">
        <v>5</v>
      </c>
      <c r="D34" s="6" t="s">
        <v>393</v>
      </c>
    </row>
    <row r="35" spans="1:4" ht="25.05" customHeight="1">
      <c r="A35" s="6" t="s">
        <v>450</v>
      </c>
      <c r="B35" s="6" t="s">
        <v>451</v>
      </c>
      <c r="C35" s="5">
        <v>3</v>
      </c>
      <c r="D35" s="6" t="s">
        <v>393</v>
      </c>
    </row>
    <row r="36" spans="1:4" ht="25.05" customHeight="1">
      <c r="A36" s="6" t="s">
        <v>452</v>
      </c>
      <c r="B36" s="6" t="s">
        <v>453</v>
      </c>
      <c r="C36" s="5">
        <v>48</v>
      </c>
      <c r="D36" s="6" t="s">
        <v>393</v>
      </c>
    </row>
    <row r="37" spans="1:4" ht="25.05" customHeight="1">
      <c r="A37" s="6" t="s">
        <v>454</v>
      </c>
      <c r="B37" s="6" t="s">
        <v>455</v>
      </c>
      <c r="C37" s="5">
        <v>0.9309090909090908</v>
      </c>
      <c r="D37" s="6" t="s">
        <v>393</v>
      </c>
    </row>
    <row r="38" spans="1:4" ht="25.05" customHeight="1">
      <c r="A38" s="6" t="s">
        <v>456</v>
      </c>
      <c r="B38" s="6" t="s">
        <v>457</v>
      </c>
      <c r="C38" s="5">
        <v>45</v>
      </c>
      <c r="D38" s="6" t="s">
        <v>393</v>
      </c>
    </row>
    <row r="39" spans="1:4" ht="25.05" customHeight="1">
      <c r="A39" s="6" t="s">
        <v>458</v>
      </c>
      <c r="B39" s="6" t="s">
        <v>459</v>
      </c>
      <c r="C39" s="5">
        <v>20</v>
      </c>
      <c r="D39" s="6" t="s">
        <v>393</v>
      </c>
    </row>
    <row r="40" spans="1:4" ht="25.05" customHeight="1">
      <c r="A40" s="6" t="s">
        <v>460</v>
      </c>
      <c r="B40" s="6" t="s">
        <v>461</v>
      </c>
      <c r="C40" s="5">
        <v>25</v>
      </c>
      <c r="D40" s="6" t="s">
        <v>393</v>
      </c>
    </row>
    <row r="41" spans="1:4" ht="25.05" customHeight="1">
      <c r="A41" s="6" t="s">
        <v>462</v>
      </c>
      <c r="B41" s="6" t="s">
        <v>463</v>
      </c>
      <c r="C41" s="5">
        <v>10</v>
      </c>
      <c r="D41" s="6" t="s">
        <v>393</v>
      </c>
    </row>
    <row r="42" spans="1:4" ht="25.05" customHeight="1">
      <c r="A42" s="6" t="s">
        <v>464</v>
      </c>
      <c r="B42" s="6" t="s">
        <v>465</v>
      </c>
      <c r="C42" s="5">
        <v>0</v>
      </c>
      <c r="D42" s="6" t="s">
        <v>393</v>
      </c>
    </row>
    <row r="43" spans="1:4" ht="25.05" customHeight="1">
      <c r="A43" s="6" t="s">
        <v>466</v>
      </c>
      <c r="B43" s="6" t="s">
        <v>467</v>
      </c>
      <c r="C43" s="5">
        <v>30</v>
      </c>
      <c r="D43" s="6" t="s">
        <v>393</v>
      </c>
    </row>
    <row r="44" spans="1:4" ht="25.05" customHeight="1">
      <c r="A44" s="6" t="s">
        <v>468</v>
      </c>
      <c r="B44" s="6" t="s">
        <v>469</v>
      </c>
      <c r="C44" s="5">
        <v>6</v>
      </c>
      <c r="D44" s="6" t="s">
        <v>393</v>
      </c>
    </row>
    <row r="45" spans="1:4" ht="25.05" customHeight="1">
      <c r="A45" s="6" t="s">
        <v>470</v>
      </c>
      <c r="B45" s="6" t="s">
        <v>471</v>
      </c>
      <c r="C45" s="5">
        <v>1.25</v>
      </c>
      <c r="D45" s="6" t="s">
        <v>393</v>
      </c>
    </row>
    <row r="46" spans="1:4" ht="25.05" customHeight="1">
      <c r="A46" s="6" t="s">
        <v>472</v>
      </c>
      <c r="B46" s="6" t="s">
        <v>473</v>
      </c>
      <c r="C46" s="5">
        <v>0</v>
      </c>
      <c r="D46" s="6" t="s">
        <v>393</v>
      </c>
    </row>
    <row r="47" spans="1:4" ht="25.05" customHeight="1">
      <c r="A47" s="6" t="s">
        <v>474</v>
      </c>
      <c r="B47" s="6" t="s">
        <v>475</v>
      </c>
      <c r="C47" s="5">
        <v>25</v>
      </c>
      <c r="D47" s="6" t="s">
        <v>393</v>
      </c>
    </row>
    <row r="48" spans="1:4" ht="25.05" customHeight="1">
      <c r="A48" s="6" t="s">
        <v>476</v>
      </c>
      <c r="B48" s="6" t="s">
        <v>477</v>
      </c>
      <c r="C48" s="5">
        <v>45</v>
      </c>
      <c r="D48" s="6" t="s">
        <v>393</v>
      </c>
    </row>
    <row r="49" spans="1:4" ht="25.05" customHeight="1">
      <c r="A49" s="6" t="s">
        <v>478</v>
      </c>
      <c r="B49" s="6" t="s">
        <v>479</v>
      </c>
      <c r="C49" s="5">
        <v>20</v>
      </c>
      <c r="D49" s="6" t="s">
        <v>393</v>
      </c>
    </row>
    <row r="50" spans="1:4" ht="25.05" customHeight="1">
      <c r="A50" s="6" t="s">
        <v>480</v>
      </c>
      <c r="B50" s="6" t="s">
        <v>481</v>
      </c>
      <c r="C50" s="5">
        <v>10</v>
      </c>
      <c r="D50" s="6" t="s">
        <v>393</v>
      </c>
    </row>
    <row r="51" spans="1:4" ht="25.05" customHeight="1">
      <c r="A51" s="6" t="s">
        <v>482</v>
      </c>
      <c r="B51" s="6" t="s">
        <v>483</v>
      </c>
      <c r="C51" s="5">
        <v>0</v>
      </c>
      <c r="D51" s="6" t="s">
        <v>393</v>
      </c>
    </row>
    <row r="52" spans="1:4" ht="25.05" customHeight="1">
      <c r="A52" s="6" t="s">
        <v>484</v>
      </c>
      <c r="B52" s="6" t="s">
        <v>485</v>
      </c>
      <c r="C52" s="5">
        <v>60</v>
      </c>
      <c r="D52" s="6" t="s">
        <v>393</v>
      </c>
    </row>
    <row r="53" spans="1:4" ht="25.05" customHeight="1">
      <c r="A53" s="6" t="s">
        <v>486</v>
      </c>
      <c r="B53" s="6" t="s">
        <v>487</v>
      </c>
      <c r="C53" s="5">
        <v>12</v>
      </c>
      <c r="D53" s="6" t="s">
        <v>393</v>
      </c>
    </row>
    <row r="54" spans="1:4" ht="25.05" customHeight="1">
      <c r="A54" s="6" t="s">
        <v>488</v>
      </c>
      <c r="B54" s="6" t="s">
        <v>489</v>
      </c>
      <c r="C54" s="5">
        <v>1.6</v>
      </c>
      <c r="D54" s="6" t="s">
        <v>393</v>
      </c>
    </row>
    <row r="55" spans="1:4" ht="25.05" customHeight="1">
      <c r="A55" s="6" t="s">
        <v>490</v>
      </c>
      <c r="B55" s="6" t="s">
        <v>491</v>
      </c>
      <c r="C55" s="5">
        <v>1</v>
      </c>
      <c r="D55" s="6" t="s">
        <v>393</v>
      </c>
    </row>
    <row r="56" spans="1:4" ht="25.05" customHeight="1">
      <c r="A56" s="6" t="s">
        <v>492</v>
      </c>
      <c r="B56" s="6" t="s">
        <v>493</v>
      </c>
      <c r="C56" s="5">
        <v>10</v>
      </c>
      <c r="D56" s="6" t="s">
        <v>393</v>
      </c>
    </row>
    <row r="57" spans="1:4" ht="25.05" customHeight="1">
      <c r="A57" s="6" t="s">
        <v>494</v>
      </c>
      <c r="B57" s="6" t="s">
        <v>495</v>
      </c>
      <c r="C57" s="5">
        <v>35</v>
      </c>
      <c r="D57" s="6" t="s">
        <v>393</v>
      </c>
    </row>
    <row r="58" spans="1:4" ht="25.05" customHeight="1">
      <c r="A58" s="6" t="s">
        <v>496</v>
      </c>
      <c r="B58" s="6" t="s">
        <v>497</v>
      </c>
      <c r="C58" s="5">
        <v>20</v>
      </c>
      <c r="D58" s="6" t="s">
        <v>393</v>
      </c>
    </row>
    <row r="59" spans="1:4" ht="25.05" customHeight="1">
      <c r="A59" s="6" t="s">
        <v>498</v>
      </c>
      <c r="B59" s="6" t="s">
        <v>499</v>
      </c>
      <c r="C59" s="5">
        <v>0</v>
      </c>
      <c r="D59" s="6" t="s">
        <v>393</v>
      </c>
    </row>
    <row r="60" spans="1:4" ht="25.05" customHeight="1">
      <c r="A60" s="6" t="s">
        <v>500</v>
      </c>
      <c r="B60" s="6" t="s">
        <v>501</v>
      </c>
      <c r="C60" s="5">
        <v>35</v>
      </c>
      <c r="D60" s="6" t="s">
        <v>393</v>
      </c>
    </row>
    <row r="61" spans="1:4" ht="25.05" customHeight="1">
      <c r="A61" s="6" t="s">
        <v>502</v>
      </c>
      <c r="B61" s="6" t="s">
        <v>503</v>
      </c>
      <c r="C61" s="5">
        <v>85</v>
      </c>
      <c r="D61" s="6" t="s">
        <v>393</v>
      </c>
    </row>
    <row r="62" spans="1:4" ht="25.05" customHeight="1">
      <c r="A62" s="6" t="s">
        <v>504</v>
      </c>
      <c r="B62" s="6" t="s">
        <v>505</v>
      </c>
      <c r="C62" s="5">
        <v>18</v>
      </c>
      <c r="D62" s="6" t="s">
        <v>393</v>
      </c>
    </row>
    <row r="63" spans="1:4" ht="25.05" customHeight="1">
      <c r="A63" s="6" t="s">
        <v>506</v>
      </c>
      <c r="B63" s="6" t="s">
        <v>507</v>
      </c>
      <c r="C63" s="5">
        <v>1.6</v>
      </c>
      <c r="D63" s="6" t="s">
        <v>393</v>
      </c>
    </row>
    <row r="64" spans="1:4" ht="25.05" customHeight="1">
      <c r="A64" s="6" t="s">
        <v>508</v>
      </c>
      <c r="B64" s="6" t="s">
        <v>509</v>
      </c>
      <c r="C64" s="5">
        <v>1</v>
      </c>
      <c r="D64" s="6" t="s">
        <v>393</v>
      </c>
    </row>
    <row r="65" spans="1:4" ht="25.05" customHeight="1">
      <c r="A65" s="6" t="s">
        <v>510</v>
      </c>
      <c r="B65" s="6" t="s">
        <v>511</v>
      </c>
      <c r="C65" s="5">
        <v>0</v>
      </c>
      <c r="D65" s="6" t="s">
        <v>393</v>
      </c>
    </row>
    <row r="66" spans="1:4" ht="25.05" customHeight="1">
      <c r="A66" s="6" t="s">
        <v>512</v>
      </c>
      <c r="B66" s="6" t="s">
        <v>513</v>
      </c>
      <c r="C66" s="5">
        <v>35</v>
      </c>
      <c r="D66" s="6" t="s">
        <v>393</v>
      </c>
    </row>
    <row r="67" spans="1:4" ht="25.05" customHeight="1">
      <c r="A67" s="6" t="s">
        <v>514</v>
      </c>
      <c r="B67" s="6" t="s">
        <v>515</v>
      </c>
      <c r="C67" s="5">
        <v>20</v>
      </c>
      <c r="D67" s="6" t="s">
        <v>393</v>
      </c>
    </row>
    <row r="68" spans="1:4" ht="25.05" customHeight="1">
      <c r="A68" s="6" t="s">
        <v>516</v>
      </c>
      <c r="B68" s="6" t="s">
        <v>517</v>
      </c>
      <c r="C68" s="5">
        <v>0</v>
      </c>
      <c r="D68" s="6" t="s">
        <v>393</v>
      </c>
    </row>
    <row r="69" spans="1:4" ht="25.05" customHeight="1">
      <c r="A69" s="6" t="s">
        <v>518</v>
      </c>
      <c r="B69" s="6" t="s">
        <v>519</v>
      </c>
      <c r="C69" s="5">
        <v>45</v>
      </c>
      <c r="D69" s="6" t="s">
        <v>393</v>
      </c>
    </row>
    <row r="70" spans="1:4" ht="25.05" customHeight="1">
      <c r="A70" s="6" t="s">
        <v>520</v>
      </c>
      <c r="B70" s="6" t="s">
        <v>521</v>
      </c>
      <c r="C70" s="5">
        <v>25</v>
      </c>
      <c r="D70" s="6" t="s">
        <v>393</v>
      </c>
    </row>
    <row r="71" spans="1:4" ht="25.05" customHeight="1">
      <c r="A71" s="6" t="s">
        <v>522</v>
      </c>
      <c r="B71" s="6" t="s">
        <v>523</v>
      </c>
      <c r="C71" s="5">
        <v>100000</v>
      </c>
      <c r="D71" s="6" t="s">
        <v>393</v>
      </c>
    </row>
    <row r="72" spans="1:4" ht="25.05" customHeight="1">
      <c r="A72" s="6" t="s">
        <v>524</v>
      </c>
      <c r="B72" s="6" t="s">
        <v>525</v>
      </c>
      <c r="C72" s="5">
        <v>100000</v>
      </c>
      <c r="D72" s="6" t="s">
        <v>393</v>
      </c>
    </row>
    <row r="73" spans="1:4" ht="25.05" customHeight="1">
      <c r="A73" s="6" t="s">
        <v>526</v>
      </c>
      <c r="B73" s="6" t="s">
        <v>527</v>
      </c>
      <c r="C73" s="5">
        <v>100000</v>
      </c>
      <c r="D73" s="6" t="s">
        <v>393</v>
      </c>
    </row>
    <row r="74" spans="1:4" ht="25.05" customHeight="1">
      <c r="A74" s="6" t="s">
        <v>528</v>
      </c>
      <c r="B74" s="6" t="s">
        <v>529</v>
      </c>
      <c r="C74" s="5">
        <v>100000</v>
      </c>
      <c r="D74" s="6" t="s">
        <v>393</v>
      </c>
    </row>
    <row r="75" spans="1:4" ht="25.05" customHeight="1">
      <c r="A75" s="6" t="s">
        <v>530</v>
      </c>
      <c r="B75" s="6" t="s">
        <v>531</v>
      </c>
      <c r="C75" s="5">
        <v>100000</v>
      </c>
      <c r="D75" s="6" t="s">
        <v>393</v>
      </c>
    </row>
    <row r="76" spans="1:4" ht="25.05" customHeight="1">
      <c r="A76" s="6" t="s">
        <v>532</v>
      </c>
      <c r="B76" s="6" t="s">
        <v>533</v>
      </c>
      <c r="C76" s="5">
        <v>100000</v>
      </c>
      <c r="D76" s="6" t="s">
        <v>393</v>
      </c>
    </row>
    <row r="77" spans="1:4" ht="25.05" customHeight="1">
      <c r="A77" s="6" t="s">
        <v>534</v>
      </c>
      <c r="B77" s="6" t="s">
        <v>535</v>
      </c>
      <c r="C77" s="5">
        <v>1</v>
      </c>
      <c r="D77" s="6" t="s">
        <v>393</v>
      </c>
    </row>
    <row r="78" spans="1:4" ht="25.05" customHeight="1">
      <c r="A78" s="6" t="s">
        <v>536</v>
      </c>
      <c r="B78" s="6" t="s">
        <v>537</v>
      </c>
      <c r="C78" s="5">
        <v>1</v>
      </c>
      <c r="D78" s="6" t="s">
        <v>393</v>
      </c>
    </row>
    <row r="79" spans="1:4" ht="25.05" customHeight="1">
      <c r="A79" s="6" t="s">
        <v>538</v>
      </c>
      <c r="B79" s="6" t="s">
        <v>539</v>
      </c>
      <c r="C79" s="5">
        <v>180</v>
      </c>
      <c r="D79" s="6" t="s">
        <v>393</v>
      </c>
    </row>
    <row r="80" spans="1:4" ht="25.05" customHeight="1">
      <c r="A80" s="6" t="s">
        <v>540</v>
      </c>
      <c r="B80" s="6" t="s">
        <v>541</v>
      </c>
      <c r="C80" s="5">
        <v>15</v>
      </c>
      <c r="D80" s="6" t="s">
        <v>393</v>
      </c>
    </row>
    <row r="81" spans="1:4" ht="25.05" customHeight="1">
      <c r="A81" s="6" t="s">
        <v>542</v>
      </c>
      <c r="B81" s="6" t="s">
        <v>543</v>
      </c>
      <c r="C81" s="5">
        <v>8</v>
      </c>
      <c r="D81" s="6" t="s">
        <v>393</v>
      </c>
    </row>
    <row r="82" spans="1:4">
      <c r="A82" s="2"/>
      <c r="B82" s="2"/>
      <c r="C82" s="2"/>
      <c r="D82" s="2"/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19BA8"/>
  </sheetPr>
  <dimension ref="A1:B27"/>
  <sheetViews>
    <sheetView showGridLines="0" topLeftCell="A9" workbookViewId="0"/>
  </sheetViews>
  <sheetFormatPr defaultRowHeight="13.5"/>
  <cols>
    <col min="1" max="1" width="25" customWidth="1"/>
    <col min="2" max="2" width="128" customWidth="1"/>
  </cols>
  <sheetData>
    <row r="1" spans="1:2" ht="30" customHeight="1">
      <c r="A1" s="1"/>
      <c r="B1" s="1"/>
    </row>
    <row r="2" spans="1:2" ht="30" customHeight="1">
      <c r="A2" s="8" t="s">
        <v>544</v>
      </c>
      <c r="B2" s="1"/>
    </row>
    <row r="3" spans="1:2" ht="30" customHeight="1">
      <c r="A3" s="1"/>
      <c r="B3" s="1"/>
    </row>
    <row r="4" spans="1:2" ht="30" customHeight="1">
      <c r="A4" s="1" t="s">
        <v>545</v>
      </c>
      <c r="B4" s="1" t="s">
        <v>546</v>
      </c>
    </row>
    <row r="5" spans="1:2" ht="30" customHeight="1">
      <c r="A5" s="1" t="s">
        <v>547</v>
      </c>
      <c r="B5" s="1" t="s">
        <v>548</v>
      </c>
    </row>
    <row r="6" spans="1:2" ht="30" customHeight="1">
      <c r="A6" s="1"/>
      <c r="B6" s="1"/>
    </row>
    <row r="7" spans="1:2" ht="37.049999999999997" customHeight="1">
      <c r="A7" s="1" t="s">
        <v>549</v>
      </c>
      <c r="B7" s="11" t="s">
        <v>550</v>
      </c>
    </row>
    <row r="8" spans="1:2" ht="37.049999999999997" customHeight="1">
      <c r="A8" s="1" t="s">
        <v>551</v>
      </c>
      <c r="B8" s="11" t="s">
        <v>552</v>
      </c>
    </row>
    <row r="9" spans="1:2" ht="37.049999999999997" customHeight="1">
      <c r="A9" s="1" t="s">
        <v>131</v>
      </c>
      <c r="B9" s="11" t="s">
        <v>553</v>
      </c>
    </row>
    <row r="10" spans="1:2" ht="37.049999999999997" customHeight="1">
      <c r="A10" s="1" t="s">
        <v>554</v>
      </c>
      <c r="B10" s="11" t="s">
        <v>555</v>
      </c>
    </row>
    <row r="11" spans="1:2" ht="37.049999999999997" customHeight="1">
      <c r="A11" s="1" t="s">
        <v>556</v>
      </c>
      <c r="B11" s="11" t="s">
        <v>557</v>
      </c>
    </row>
    <row r="12" spans="1:2" ht="37.049999999999997" customHeight="1">
      <c r="A12" s="1" t="s">
        <v>558</v>
      </c>
      <c r="B12" s="11" t="s">
        <v>559</v>
      </c>
    </row>
    <row r="13" spans="1:2" ht="37.049999999999997" customHeight="1">
      <c r="A13" s="1" t="s">
        <v>560</v>
      </c>
      <c r="B13" s="11" t="s">
        <v>561</v>
      </c>
    </row>
    <row r="14" spans="1:2" ht="37.049999999999997" customHeight="1">
      <c r="A14" s="1" t="s">
        <v>268</v>
      </c>
      <c r="B14" s="11" t="s">
        <v>562</v>
      </c>
    </row>
    <row r="15" spans="1:2" ht="37.049999999999997" customHeight="1">
      <c r="A15" s="1" t="s">
        <v>563</v>
      </c>
      <c r="B15" s="11" t="s">
        <v>564</v>
      </c>
    </row>
    <row r="16" spans="1:2" ht="37.049999999999997" customHeight="1">
      <c r="A16" s="1" t="s">
        <v>565</v>
      </c>
      <c r="B16" s="11" t="s">
        <v>566</v>
      </c>
    </row>
    <row r="17" spans="1:2" ht="37.049999999999997" customHeight="1">
      <c r="A17" s="1" t="s">
        <v>567</v>
      </c>
      <c r="B17" s="11" t="s">
        <v>568</v>
      </c>
    </row>
    <row r="18" spans="1:2" ht="37.049999999999997" customHeight="1">
      <c r="A18" s="1" t="s">
        <v>569</v>
      </c>
      <c r="B18" s="11" t="s">
        <v>570</v>
      </c>
    </row>
    <row r="19" spans="1:2" ht="37.049999999999997" customHeight="1">
      <c r="A19" s="1" t="s">
        <v>571</v>
      </c>
      <c r="B19" s="11" t="s">
        <v>572</v>
      </c>
    </row>
    <row r="20" spans="1:2" ht="37.049999999999997" customHeight="1">
      <c r="A20" s="1" t="s">
        <v>573</v>
      </c>
      <c r="B20" s="11" t="s">
        <v>574</v>
      </c>
    </row>
    <row r="21" spans="1:2" ht="37.049999999999997" customHeight="1">
      <c r="A21" s="1" t="s">
        <v>575</v>
      </c>
      <c r="B21" s="11" t="s">
        <v>576</v>
      </c>
    </row>
    <row r="22" spans="1:2" ht="37.049999999999997" customHeight="1">
      <c r="A22" s="1" t="s">
        <v>577</v>
      </c>
      <c r="B22" s="11" t="s">
        <v>578</v>
      </c>
    </row>
    <row r="23" spans="1:2" ht="37.049999999999997" customHeight="1">
      <c r="A23" s="1" t="s">
        <v>579</v>
      </c>
      <c r="B23" s="11" t="s">
        <v>580</v>
      </c>
    </row>
    <row r="24" spans="1:2" ht="37.049999999999997" customHeight="1">
      <c r="A24" s="1" t="s">
        <v>581</v>
      </c>
      <c r="B24" s="11" t="s">
        <v>582</v>
      </c>
    </row>
    <row r="25" spans="1:2" ht="30" customHeight="1">
      <c r="A25" s="1" t="s">
        <v>583</v>
      </c>
      <c r="B25" s="1" t="s">
        <v>584</v>
      </c>
    </row>
    <row r="26" spans="1:2" ht="30" customHeight="1">
      <c r="A26" s="1"/>
      <c r="B26" s="1"/>
    </row>
    <row r="27" spans="1:2" ht="30" customHeight="1">
      <c r="A27" s="1"/>
      <c r="B27" s="1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关卡总览</vt:lpstr>
      <vt:lpstr>全局资源</vt:lpstr>
      <vt:lpstr>关卡参数</vt:lpstr>
      <vt:lpstr>天体配置</vt:lpstr>
      <vt:lpstr>节点配置</vt:lpstr>
      <vt:lpstr>信息链</vt:lpstr>
      <vt:lpstr>武装效果</vt:lpstr>
      <vt:lpstr>生产制造</vt:lpstr>
      <vt:lpstr>载体插槽</vt:lpstr>
      <vt:lpstr>全局机制</vt:lpstr>
      <vt:lpstr>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Morton 毛</cp:lastModifiedBy>
  <dcterms:modified xsi:type="dcterms:W3CDTF">2026-10-15T10:25:52Z</dcterms:modified>
</cp:coreProperties>
</file>